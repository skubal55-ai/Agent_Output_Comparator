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tos365-my.sharepoint.com/personal/suchita-mahesh_khandekar_atos_net/Documents/Documents/output comparator/OutputComparator/docs/examples/"/>
    </mc:Choice>
  </mc:AlternateContent>
  <xr:revisionPtr revIDLastSave="0" documentId="11_52A3D8857BAE97D2EEF4E32ABF19C9CCF6CACAAC" xr6:coauthVersionLast="47" xr6:coauthVersionMax="47" xr10:uidLastSave="{00000000-0000-0000-0000-000000000000}"/>
  <bookViews>
    <workbookView xWindow="-110" yWindow="-110" windowWidth="19420" windowHeight="10300" xr2:uid="{00000000-000D-0000-FFFF-FFFF00000000}"/>
  </bookViews>
  <sheets>
    <sheet name="Summary" sheetId="1" r:id="rId1"/>
    <sheet name="Results" sheetId="2" r:id="rId2"/>
  </sheets>
  <definedNames>
    <definedName name="_xlnm._FilterDatabase" localSheetId="1" hidden="1">Results!$A$1:$V$56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6" i="2" l="1"/>
  <c r="T55" i="2"/>
  <c r="T54" i="2"/>
  <c r="T53" i="2"/>
  <c r="T52" i="2"/>
  <c r="T51" i="2"/>
  <c r="T50" i="2"/>
  <c r="G29" i="1" s="1"/>
  <c r="T49" i="2"/>
  <c r="T48" i="2"/>
  <c r="T47" i="2"/>
  <c r="T46" i="2"/>
  <c r="T45" i="2"/>
  <c r="T44" i="2"/>
  <c r="T43" i="2"/>
  <c r="T42" i="2"/>
  <c r="G28" i="1" s="1"/>
  <c r="T41" i="2"/>
  <c r="G27" i="1" s="1"/>
  <c r="T40" i="2"/>
  <c r="T39" i="2"/>
  <c r="T38" i="2"/>
  <c r="T37" i="2"/>
  <c r="T36" i="2"/>
  <c r="T35" i="2"/>
  <c r="T34" i="2"/>
  <c r="E26" i="1" s="1"/>
  <c r="T33" i="2"/>
  <c r="F26" i="1" s="1"/>
  <c r="T32" i="2"/>
  <c r="T31" i="2"/>
  <c r="T30" i="2"/>
  <c r="T29" i="2"/>
  <c r="T28" i="2"/>
  <c r="T27" i="2"/>
  <c r="E25" i="1" s="1"/>
  <c r="T26" i="2"/>
  <c r="E24" i="1" s="1"/>
  <c r="T25" i="2"/>
  <c r="T24" i="2"/>
  <c r="T23" i="2"/>
  <c r="T22" i="2"/>
  <c r="T21" i="2"/>
  <c r="T20" i="2"/>
  <c r="T19" i="2"/>
  <c r="T18" i="2"/>
  <c r="G23" i="1" s="1"/>
  <c r="T17" i="2"/>
  <c r="T16" i="2"/>
  <c r="T15" i="2"/>
  <c r="T14" i="2"/>
  <c r="T13" i="2"/>
  <c r="T12" i="2"/>
  <c r="T11" i="2"/>
  <c r="T10" i="2"/>
  <c r="G21" i="1" s="1"/>
  <c r="T9" i="2"/>
  <c r="T8" i="2"/>
  <c r="T7" i="2"/>
  <c r="T6" i="2"/>
  <c r="T5" i="2"/>
  <c r="T4" i="2"/>
  <c r="T3" i="2"/>
  <c r="T2" i="2"/>
  <c r="B6" i="1" s="1"/>
  <c r="G30" i="1"/>
  <c r="F30" i="1"/>
  <c r="E30" i="1"/>
  <c r="D30" i="1"/>
  <c r="C30" i="1"/>
  <c r="B30" i="1"/>
  <c r="F29" i="1"/>
  <c r="D29" i="1"/>
  <c r="C29" i="1"/>
  <c r="B29" i="1"/>
  <c r="D28" i="1"/>
  <c r="C28" i="1"/>
  <c r="B28" i="1"/>
  <c r="E27" i="1"/>
  <c r="D27" i="1"/>
  <c r="C27" i="1"/>
  <c r="B27" i="1"/>
  <c r="D26" i="1"/>
  <c r="C26" i="1"/>
  <c r="B26" i="1"/>
  <c r="G25" i="1"/>
  <c r="F25" i="1"/>
  <c r="D25" i="1"/>
  <c r="C25" i="1"/>
  <c r="B25" i="1"/>
  <c r="D24" i="1"/>
  <c r="C24" i="1"/>
  <c r="B24" i="1"/>
  <c r="D23" i="1"/>
  <c r="C23" i="1"/>
  <c r="B23" i="1"/>
  <c r="G22" i="1"/>
  <c r="F22" i="1"/>
  <c r="E22" i="1"/>
  <c r="D22" i="1"/>
  <c r="C22" i="1"/>
  <c r="B22" i="1"/>
  <c r="F21" i="1"/>
  <c r="D21" i="1"/>
  <c r="C21" i="1"/>
  <c r="B21" i="1"/>
  <c r="D20" i="1"/>
  <c r="C20" i="1"/>
  <c r="B20" i="1"/>
  <c r="C17" i="1"/>
  <c r="B17" i="1"/>
  <c r="C16" i="1"/>
  <c r="B16" i="1"/>
  <c r="C15" i="1"/>
  <c r="B15" i="1"/>
  <c r="C14" i="1"/>
  <c r="B14" i="1"/>
  <c r="C13" i="1"/>
  <c r="B13" i="1"/>
  <c r="C12" i="1"/>
  <c r="B12" i="1"/>
  <c r="C11" i="1"/>
  <c r="B11" i="1"/>
  <c r="C10" i="1"/>
  <c r="B10" i="1"/>
  <c r="C9" i="1"/>
  <c r="B9" i="1"/>
  <c r="C8" i="1"/>
  <c r="B8" i="1"/>
  <c r="B7" i="1"/>
  <c r="C6" i="1"/>
  <c r="C5" i="1"/>
  <c r="B5" i="1"/>
  <c r="E21" i="1" l="1"/>
  <c r="G26" i="1"/>
  <c r="E29" i="1"/>
  <c r="F20" i="1"/>
  <c r="F24" i="1"/>
  <c r="F28" i="1"/>
  <c r="E28" i="1"/>
  <c r="G20" i="1"/>
  <c r="E23" i="1"/>
  <c r="G24" i="1"/>
  <c r="C7" i="1"/>
  <c r="F23" i="1"/>
  <c r="F27" i="1"/>
  <c r="E20" i="1"/>
</calcChain>
</file>

<file path=xl/sharedStrings.xml><?xml version="1.0" encoding="utf-8"?>
<sst xmlns="http://schemas.openxmlformats.org/spreadsheetml/2006/main" count="393" uniqueCount="227">
  <si>
    <t>Copilot CLI vs Claude Code CLI — Output Comparator batch</t>
  </si>
  <si>
    <t>55 prompts run through the app's /api/compare endpoint. System prompt: software-assistant.md. Scores are the app's own 0–100 metrics; Winner = higher Overall, Tie if within 3 points (app rule).</t>
  </si>
  <si>
    <t>Metric</t>
  </si>
  <si>
    <t>GitHub Copilot CLI</t>
  </si>
  <si>
    <t>Claude Code CLI</t>
  </si>
  <si>
    <t>Prompts run</t>
  </si>
  <si>
    <t>Wins</t>
  </si>
  <si>
    <t>Ties</t>
  </si>
  <si>
    <t>Failed runs</t>
  </si>
  <si>
    <t>Avg Overall</t>
  </si>
  <si>
    <t>Avg Quality</t>
  </si>
  <si>
    <t>Avg Accuracy</t>
  </si>
  <si>
    <t>Avg Speed score</t>
  </si>
  <si>
    <t>Avg Length score</t>
  </si>
  <si>
    <t>Avg latency (s)</t>
  </si>
  <si>
    <t>Median latency (s)</t>
  </si>
  <si>
    <t>Avg words</t>
  </si>
  <si>
    <t>Faster on (prompts)</t>
  </si>
  <si>
    <t>Category</t>
  </si>
  <si>
    <t>Prompts</t>
  </si>
  <si>
    <t>Copilot avg Overall</t>
  </si>
  <si>
    <t>Claude avg Overall</t>
  </si>
  <si>
    <t>Copilot wins</t>
  </si>
  <si>
    <t>Claude wins</t>
  </si>
  <si>
    <t>Architecture</t>
  </si>
  <si>
    <t>Python</t>
  </si>
  <si>
    <t>JavaScript/TypeScript</t>
  </si>
  <si>
    <t>Debugging</t>
  </si>
  <si>
    <t>SQL &amp; Data</t>
  </si>
  <si>
    <t>DevOps &amp; Cloud</t>
  </si>
  <si>
    <t>Security</t>
  </si>
  <si>
    <t>Algorithms</t>
  </si>
  <si>
    <t>API Design</t>
  </si>
  <si>
    <t>Git &amp; Tooling</t>
  </si>
  <si>
    <t>Tech Writing</t>
  </si>
  <si>
    <t>Notes</t>
  </si>
  <si>
    <t>• Speed score is relative between the two agents on each prompt: the faster one gets 100, the slower ~20, regardless of the gap size.</t>
  </si>
  <si>
    <t>• Accuracy is TF-IDF word overlap between prompt and answer (not correctness); values of 5–15 are normal for good answers.</t>
  </si>
  <si>
    <t>• Failed runs (auth errors, timeouts) score 0 on every metric.</t>
  </si>
  <si>
    <t>• Claude Code CLI ran with --permission-mode acceptEdits; Copilot CLI with --allow-all. Both got the identical prompt text.</t>
  </si>
  <si>
    <t>#</t>
  </si>
  <si>
    <t>Prompt</t>
  </si>
  <si>
    <t>Copilot Latency (s)</t>
  </si>
  <si>
    <t>Copilot Words</t>
  </si>
  <si>
    <t>Copilot Quality</t>
  </si>
  <si>
    <t>Copilot Accuracy</t>
  </si>
  <si>
    <t>Copilot Speed</t>
  </si>
  <si>
    <t>Copilot Length</t>
  </si>
  <si>
    <t>Copilot Overall</t>
  </si>
  <si>
    <t>Copilot Status</t>
  </si>
  <si>
    <t>Claude Latency (s)</t>
  </si>
  <si>
    <t>Claude Words</t>
  </si>
  <si>
    <t>Claude Quality</t>
  </si>
  <si>
    <t>Claude Accuracy</t>
  </si>
  <si>
    <t>Claude Speed</t>
  </si>
  <si>
    <t>Claude Length</t>
  </si>
  <si>
    <t>Claude Overall</t>
  </si>
  <si>
    <t>Claude Status</t>
  </si>
  <si>
    <t>Winner</t>
  </si>
  <si>
    <t>Copilot answer</t>
  </si>
  <si>
    <t>Claude answer</t>
  </si>
  <si>
    <t>Compare monolith vs microservices for an e-commerce platform with 1 million users and recommend one.</t>
  </si>
  <si>
    <t>OK</t>
  </si>
  <si>
    <t>Recommendation — short summary
- For an e‑commerce platform with ~1M users, start with a well‑designed modular monolith and evolve to microservices selectively. It balances time‑to‑market, operational risk and cost while preserving a clear migration path.
Comparison (concise)
- Development speed &amp; complexity
  - Monolith: Faster to implement, simpler local debugging and end‑to‑end testing.
  - Microservices: More complex (networking, contracts, deployments); slower feature delivery initially.
- Scalability &amp; performance
  - Monolith: Can scale vertically or via process replication; simpler caching and DB transactions.
  - Microservices: Better for scaling hotspots independently (e.g., catalog, checkout) but adds network latency and coordination.
- Data consistency
  - Monolith: Strong ACID transactions easier.
  - Microservices: Eventual consistency common; requires careful design for orders/payments.
- Operations &amp; cost
  - Monolith: Lower infra/ops overhead.
  - Microservices: Higher operational burden (service discovery, observability, tracing, CI/CD) — requires mature SRE/DevOps.
- Resilience &amp; ownership
  - Monolith: Single failure domain unless designed with isolation patterns.
  - Microservices: Failure isolation, independent deploys, clear team ownership.
When microservices make sense
- Large autonomous teams, proven traffic hotspots, strict SLAs, or need for polyglot stacks and independent scaling.
Practical migration path
- Build a modular monolith with clear bounded contexts (catalog, cart, orders, payments).
- Invest in good CI/CD, tests, observability and domain events.
- Extract services iteratively (strangler pattern) only for justified bottlenecks.
Trade‑offs
- Choosing monolith delays operational complexity and reduces early cost; microservices optimize long‑term scale/independence at higher short‑term cost and risk.</t>
  </si>
  <si>
    <t>## Monolith vs Microservices for E-Commerce (1M Users)
### Monolith
**Pros:**
- Simpler to develop, test, and deploy initially
- Lower operational overhead (one deployable, one DB)
- Easier debugging — single process, no network hops
**Cons:**
- Scaling is all-or-nothing; you can't scale checkout independently of catalog
- Deploys become risky as the codebase grows — one bad merge affects everything
- Team coupling increases; multiple squads stepping on each other
### Microservices
**Pros:**
- Independent scaling (checkout, inventory, search can scale separately)
- Independent deploys reduce blast radius
- Teams own services end-to-end, enabling faster iteration
**Cons:**
- Significant operational complexity (service mesh, distributed tracing, eventual consistency)
- Network latency and partial-failure handling
- Requires mature CI/CD, observability, and on-call culture
### Recommendation: **Start modular monolith, extract incrementally**
At 1M users, a well-structured **modular monolith** handles the load comfortably (vertical + horizontal scaling behind a load balancer). Organize code into bounded modules (catalog, orders, payments, users) with clear internal APIs.
Extract to microservices **only when you hit a concrete bottleneck** — e.g., search needs its own scaling profile, or the payments team's deploy cadence is blocked by catalog changes.
### Why not jump straight to microservices?
Most e-commerce platforms at this scale don't need them yet, and the operational tax (Kubernetes, service discovery, distributed transactions) is steep. Premature decomposition is harder to undo than extracting a service later from a clean module boundary.</t>
  </si>
  <si>
    <t>Explain the cache-aside pattern and when to use it.</t>
  </si>
  <si>
    <t>What it is
- Cache-aside (lazy loading) keeps the cache empty until data is requested. The application is responsible for reading/writing both cache and backing store.
Read + write flow
- Read:
  1. Try cache.get(key).
  2. If hit → return.
  3. If miss → load from DB, cache.set(key, value, ttl), return.
- Write:
  - Update DB, then invalidate/delete cache key (or update cache afterwards).
  - Never rely on cache as the source of truth.
When to use it
- Read-heavy workloads with expensive reads (complex queries, aggregations).
- Data where eventual consistency is acceptable (slight staleness tolerated).
- Simple caching needs without strong transactional requirements.
Benefits
- Simple to implement.
- Avoids caching cold/wasted entries.
- Keeps DB as authoritative source.
Trade-offs and pitfalls
- Stale reads between DB write and cache invalidation if done incorrectly.
- Cache stampede on popular keys after expiry (use locks/request coalescing).
- Extra complexity on writes (must invalidate or update cache).
- Not suitable when strong read-after-write consistency is required.
Best practices
- Use short TTLs for volatile data and negative caching for misses.
- Use atomic operations / distributed locks to avoid stampedes (e.g., singleflight).
- Monitor cache hit rate and misses; design stable cache keys.
- For strict consistency consider write-through or read-repair alternatives.
Example (pseudocode)
- Read:
  def get(k):
      v = cache.get(k)
      if v: return v
      v = db.get(k)
      if v is None: cache.set(k, NULL, short_ttl); return None
      cache.set(k, v, ttl); return v
- Update:
  def update(k, v):
      db.update(k, v)
      cache.delete(k)  # invalidate so next read repopulates</t>
  </si>
  <si>
    <t>## Cache-Aside Pattern
Cache-aside (also called **lazy-loading**) is a caching strategy where the application manages the cache explicitly, rather than the cache being updated automatically by the data store.
### How it works
1. **Read path:** Check the cache first. On a **hit**, return the cached value. On a **miss**, read from the data store, populate the cache, then return the value.
2. **Write path:** Write directly to the data store, then **invalidate** (or delete) the corresponding cache entry. The next read will repopulate it.
```
value = cache.get(key)
if value is None:
    value = db.query(key)
    cache.set(key, value, ttl=300)
return value
```
### When to use it
- **Read-heavy workloads** where the same data is fetched repeatedly.
- **Data that tolerates brief staleness** — there's always a window between a DB write and cache invalidation where stale data can be served.
- When you need **fine-grained control** over what gets cached and for how long.
### Trade-offs
| Pro | Con |
|---|---|
| Simple to implement | Cold-start / cache-miss penalty |
| Only caches data that's actually requested | Risk of stale reads under race conditions |
| Works with any backing store | Application owns all caching logic |
### Alternatives to consider
- **Write-through** — if you need strong consistency between cache and store.
- **Write-behind** — if you want to absorb write bursts at the cost of durability risk.
Cache-aside is the most common pattern in practice (e.g., Redis + PostgreSQL) because of its simplicity and flexibility.</t>
  </si>
  <si>
    <t>How would you design a URL shortener that handles 10,000 requests per second?</t>
  </si>
  <si>
    <t>Overview
- Goal: reliable, low-latency redirect and scalable create API at 10k RPS. Read-heavy design with caches, partitioned storage, and simple unique-key generation.
Architecture (high level)
- Edge: CDN for redirect caching (HTTP 301/302). Global PoPs reduce latency and origin load.
- API tier: stateless autoscaled app servers behind LB for create/management APIs.
- Cache: multi-layer — CDN → Redis cluster (hot keys) → persistent store.
- Persistent store: partitioned key-value DB (Cassandra / DynamoDB / CockroachDB) for high write/read throughput and geo-replication.
- Analytics/events: async ingestion (Kafka) -&gt; processing/warehouse.
Data model
- ShortKey (PK) -&gt; { original_url, created_at, owner_id, ttl, is_custom, metadata }.
- Use compact key size (6–8 base62 chars).
Key generation
- Option A (sequential + obfuscate): Snowflake/ULID -&gt; base62 encode -&gt; deterministic, collision-free, monotonic.
- Option B (random): cryptographic random 6–8 chars + check-write CAS =&gt; slight extra write but unpredictable.
- Trade-off: sequential is predictable (analytics linkability) but faster/no-checks; random gives privacy at cost of potential retries.
Read path (redirect)
- CDN serves cached redirects. Miss -&gt; API -&gt; Redis -&gt; DB. Redis TTL ~ 1h and write-through on create.
- Use HTTP 301 to allow long CDN caching for permanent links.
Write path (create)
- Validate URL, rate-limit, ACLs. Generate key, attempt Redis &amp; DB write (DB as source of truth).
- If analytics needed, publish event to Kafka.
Scaling &amp; availability
- Partition keys with consistent hashing or natural partition from base62 mapping.
- Deploy multi-AZ, monitor latency/error budgets, autoscale API and Redis.
- Backup DB snapshots; use leaderless storage or quorum writes for availability.
Security &amp; anti-abuse
- Rate limiting, CAPTCHA for suspected bots, domain allow/block lists, sanitized redirects (no open-redirect abuse).
Minimal code (base62 encode)
- Python:
  def base62(n):
      chars="0123456789abcdefghijklmnopqrstuvwxyzABCDEFGHIJKLMNOPQRSTUVWXYZ"
      s=""; 
      while n: s=chars[n%62]+s; n//=62
      return s or "0"
Trade-offs
- CDN+cache reduces cost/latency; increases eventual consistency window for recent creates. Sequential IDs simpler/cheaper; random keys more private.</t>
  </si>
  <si>
    <t># URL Shortener at 10K RPS
## Core Architecture
**Write path** (create short URL): Client → Load Balancer → API Server → Database + Cache
**Read path** (redirect): Client → Load Balancer → API Server → Cache (→ DB on miss) → 301/302 Redirect
Reads dominate (~100:1), so optimize heavily for lookups.
## Key Generation
Use a **base62-encoded counter** (a-z, A-Z, 0-9). A 7-character key gives ~3.5 trillion unique URLs. Two approaches:
- **Pre-generated key pool**: A background service fills a key table; API servers claim ranges in batches. Avoids collision entirely.
- **Hash + truncate**: MD5/SHA256 the long URL, take the first 7 chars. Requires collision handling.
The pre-generated approach is simpler under high concurrency.
## Storage &amp; Caching
- **Database**: A partitioned key-value store (DynamoDB, Cassandra, or sharded PostgreSQL). Partition by short-key hash for even distribution.
- **Cache**: Redis cluster in front of the DB. At 10K RPS with a ~95% cache hit rate, only ~500 RPS reach the database.
- **TTL policy**: Cache hot URLs for 24h; evict LRU for cold ones.
## Scaling Considerations
- **Stateless API servers** behind an L7 load balancer — scale horizontally.
- **Read replicas** for the DB to absorb cache misses.
- **Rate limiting** per API key to prevent abuse.
- **Analytics** (click counts, geo, referrer): write to Kafka → async consumers, not in the hot path.
## Trade-offs
| Decision | Pro | Con |
|---|---|---|
| 301 (permanent) redirect | Client caches, fewer hits | Lose analytics visibility |
| 302 (temporary) redirect | Every click tracked | Higher server load |
| Custom alias support | Better UX | Collision checks, larger key space |
For 10K RPS, the combination of Redis caching, stateless horizontal scaling, and a partitioned data store keeps latency under 10ms at p99.</t>
  </si>
  <si>
    <t>When should a team choose event-driven architecture over request-response? Give trade-offs.</t>
  </si>
  <si>
    <t>When to choose event-driven
- Use when services must be loosely coupled, scale independently, or process asynchronous workflows (e.g., order pipelines, analytics, notifications).
- Good for real-time fan‑out, integrations, long-running/background work, audit trails, CQRS/async read models.
- Prefer when eventual consistency is acceptable.
When to prefer request–response
- Simple CRUD or synchronous user interactions requiring immediate, strongly consistent responses.
- Low operational complexity, predictable latency, simpler error handling and testing.
Trade-offs (summary)
- Pros: decoupling, horizontal scalability, resilience to partial failures, natural fan‑out, better throughput.
- Cons: higher operational and architectural complexity, distributed debugging/tracing, eventual consistency, message ordering/duplication concerns, harder transactional semantics, testing overhead and often higher infra cost.
Quick example
// publish
bus.publish('order.created', order)
// sync call
http.post('/orders', order)</t>
  </si>
  <si>
    <t>## When to Choose Event-Driven Over Request-Response
**Choose event-driven when:**
- **Multiple consumers** need to react to the same action (e.g., order placed → inventory, billing, notifications all respond independently).
- **Temporal decoupling** matters — the producer shouldn't block waiting for downstream systems, or those systems may be temporarily unavailable.
- **Load leveling** is needed — a queue/broker absorbs traffic spikes so consumers process at their own pace.
- **You need extensibility** — new consumers can subscribe without modifying the producer.
**Stick with request-response when:**
- You need an **immediate, synchronous answer** (e.g., "is this username available?").
- The interaction is **simple and between two parties** with low latency requirements.
- **Strong consistency** is required in a single operation (e.g., a bank transfer that must succeed or fail atomically).
## Trade-offs
| | Event-Driven | Request-Response |
|---|---|---|
| **Coupling** | Loose — producers don't know consumers | Tight — caller knows the callee |
| **Consistency** | Eventual; harder to reason about | Immediate; easier transactional guarantees |
| **Debugging** | Harder — distributed traces, out-of-order events | Easier — linear call stack |
| **Scalability** | Naturally scales via partitioned consumers | Scales by adding replicas behind a load balancer |
| **Infrastructure** | Requires a broker (Kafka, SQS, etc.) — operational overhead | Simpler infra (HTTP/gRPC) |
| **Error handling** | Dead-letter queues, retries, idempotency required | Standard try/catch or status codes |
**Rule of thumb:** If you're drawing arrows from one box to many, or you need resilience to downstream failures, go event-driven. If it's a simple "ask and get an answer" flow, request-response is simpler and sufficient.</t>
  </si>
  <si>
    <t>Explain the CQRS pattern with a concrete example and its downsides.</t>
  </si>
  <si>
    <t>Overview:
- CQRS (Command Query Responsibility Segregation) splits a system into two parts: commands (writes/changes) and queries (reads). Each side can use different models, storage, and scaling.
Concrete example — e-commerce Orders:
- Write side: Accepts commands like PlaceOrder, CancelOrder. Validates business rules and updates the canonical order store (normalized).
- Read side: Builds denormalized views for UI (OrderSummary, OrderHistory) optimized for fast queries and paging, often via projections or materialized views.
- Pattern often paired with Event Sourcing (writes produce events; read models subscribe and project).
Architecture (high level):
- Command handlers -&gt; domain model -&gt; persistent store / events
- Events or change stream -&gt; projection workers -&gt; read database(s)
- Query handlers read from read-optimized DB
Mini code sketch (pseudo-C#):
```csharp
// Command
await commandBus.Send(new PlaceOrderCmd(customerId, items));
// Query
var page = await queryService.GetOrdersForCustomer(customerId, page, size);
```
Downsides / trade-offs:
- Complexity: more moving parts (handlers, projections, messaging).
- Eventual consistency: reads may lag after writes; UI/UX must handle that.
- Data duplication &amp; operational overhead: multiple databases and synchronization code.
- Harder testing and debugging (race conditions, projection bugs).
- Overkill for simple CRUD apps.
When to use:
- High read/write scalability needs, complex domain rules, or when read models differ dramatically from write models. Otherwise stick with simpler layered/CRUD designs.</t>
  </si>
  <si>
    <t>## CQRS (Command Query Responsibility Segregation)
CQRS splits your application's data model into two sides: a **write model** (commands) that handles state changes, and a **read model** (queries) optimized for data retrieval.
### Concrete Example: E-Commerce Order System
**Write side** — A `PlaceOrderCommand` validates inventory, applies business rules, and persists an `Order` aggregate to a normalized relational schema.
```
PlaceOrderCommand → OrderCommandHandler → Orders table (normalized)
```
**Read side** — A `GetOrderSummaryQuery` reads from a denormalized `OrderSummaryView` table pre-joined with customer and product data, optimized for fast lookups.
```
GetOrderSummaryQuery → OrderQueryHandler → OrderSummaryView (denormalized)
```
A background projector/sync process keeps the read model updated whenever the write side changes. This is often event-driven (pairs naturally with Event Sourcing, though they're independent patterns).
### Benefits
- **Independent scaling** — read-heavy workloads (common) scale separately from writes
- **Optimized schemas** — each side uses the storage shape best suited to its job
- **Simpler models** — command handlers focus on invariants; query handlers focus on presentation
### Downsides
- **Eventual consistency** — the read model lags behind writes, which complicates UX (e.g., "I just placed an order but don't see it")
- **Operational complexity** — two data stores, sync infrastructure, failure handling for projections
- **Overkill for simple domains** — a basic CRUD app gains little but pays the full complexity cost
- **Debugging difficulty** — tracing a bug across command/event/projection boundaries is harder than in a single model
**Rule of thumb:** reach for CQRS when read and write patterns diverge significantly in shape, scale, or complexity — not by default.</t>
  </si>
  <si>
    <t>Show a Python function that removes duplicates from a list while preserving order, and explain its complexity.</t>
  </si>
  <si>
    <t>Function
```python
def remove_duplicates_preserve_order(seq):
    seen = set()
    out = []
    for item in seq:
        if item not in seen:
            seen.add(item)
            out.append(item)
    return out
```
Notes and complexity
- Time: O(n) on average — each membership test and add on a hash set is O(1) average, so linear over n items.
- Space: O(n) extra for the `seen` set and the output list.
- Order: Stable — the first occurrence of each element is kept in original order.
- Trade-offs:
  - Elements must be hashable. For hashable-only input, a shorter equivalent is `list(dict.fromkeys(seq))` (also O(n)).
  - If elements may be unhashable (e.g., lists), fallback is to track seen items in a list and check with `if item not in seen`, which is O(n^2) time but handles all types.
  - For large unhashable items, consider converting elements to a stable hashable representation (tuple, JSON string, or pickle) — this adds conversion cost and potential collisions/serialization caveats.
Use the hashable approach when possible for best performance and memory/time trade-off.</t>
  </si>
  <si>
    <t>## Removing Duplicates While Preserving Order
```python
def remove_duplicates(items):
    seen = set()
    result = []
    for item in items:
        if item not in seen:
            seen.add(item)
            result.append(item)
    return result
```
**Usage:**
```python
&gt;&gt;&gt; remove_duplicates([3, 1, 2, 3, 1, 4])
[3, 1, 2, 4]
```
### Complexity
- **Time: O(n)** — single pass over the list; `set` lookups and insertions are O(1) amortized.
- **Space: O(n)** — worst case every element is unique, so both `seen` and `result` hold *n* items.
### Alternatives &amp; Trade-offs
| Approach | Preserves order? | Time | Notes |
|---|---|---|---|
| `dict.fromkeys(items)` | Yes (Python 3.7+) | O(n) | One-liner, same complexity, but less explicit. |
| `list(set(items))` | **No** | O(n) | Simplest, but order is lost. |
| Nested loop (`if x not in result`) | Yes | O(n²) | No extra set, but `in` on a list is O(n). |
The `set`-based approach above is the standard choice — it's clear, efficient, and works with any hashable element type. If you need to handle unhashable items (e.g., dicts), you'd fall back to the O(n²) list-check or serialize items to a hashable form.</t>
  </si>
  <si>
    <t>Explain the difference between a list, tuple, set and dict in Python with one example each.</t>
  </si>
  <si>
    <t>Python collections — quick comparison
- List — ordered, mutable, allows duplicates. Good for sequences you change.
  Example: my_list = [1, 2, 2]
- Tuple — ordered, immutable, allows duplicates. Use for fixed records or hashable grouping.
  Example: my_tuple = (1, 2, 2)
- Set — unordered, mutable, no duplicates. Fast membership, good for dedup and set ops.
  Example: my_set = {1, 2}  # duplicate values collapse
- Dict — mapping key→value, keys unique, mutable. Fast lookup by key; insertion-ordered (Py3.7+).
  Example: my_dict = {'a': 1, 'b': 2}
Trade-offs: lists/tuples preserve order (tuples lighter, immutable); sets/dicts give O(1) membership/lookup vs O(n) for lists.</t>
  </si>
  <si>
    <t>## Python Collection Types
### List — ordered, mutable, allows duplicates
```python
fruits = ["apple", "banana", "apple"]
fruits.append("cherry")  # ["apple", "banana", "apple", "cherry"]
```
Use when you need an ordered sequence you'll modify over time.
### Tuple — ordered, immutable, allows duplicates
```python
point = (3, 7)
x, y = point  # unpacking: x=3, y=7
```
Use for fixed records (coordinates, DB rows, dict keys). Immutability makes tuples hashable and slightly faster than lists.
### Set — unordered, mutable, **no duplicates**
```python
tags = {"python", "java", "python"}
print(tags)  # {"python", "java"}  — duplicate removed
```
Use for membership tests (`in` is O(1)), deduplication, and set operations (union, intersection).
### Dict — ordered (3.7+), mutable, key-value pairs
```python
user = {"name": "Alice", "age": 30}
user["email"] = "alice@example.com"  # add a new key
```
Use when you need fast lookup by a meaningful key.
### Quick Comparison
| Feature | List | Tuple | Set | Dict |
|---------|------|-------|-----|------|
| Ordered | yes | yes | no | yes* |
| Mutable | yes | **no** | yes | yes |
| Duplicates | yes | yes | **no** | keys: no |
| Lookup | O(n) | O(n) | O(1) | O(1) by key |
*Insertion-ordered since Python 3.7.
**Rule of thumb:** default to a list; reach for a tuple when immutability matters, a set when uniqueness/membership matters, and a dict when you need key-based access.</t>
  </si>
  <si>
    <t>How do Python decorators work? Show a timing decorator example.</t>
  </si>
  <si>
    <t>How decorators work
- A decorator is a callable that takes a function (or method) and returns a new callable.  
- Common pattern: a decorator returns a wrapper closure that calls the original function and can run code before/after it.  
- Use functools.wraps on the wrapper to preserve the original function’s metadata (name, docstring, signature).  
- Decorators can be stacked, take arguments (returning a decorator), applied to methods (self is passed normally), or implemented as classes.  
- Trade-offs: small runtime overhead, not suitable for microbenchmarks; be careful with async functions (need async wrapper) and with preserving signatures if introspection matters.
Timing decorator example
- Measures elapsed time safely even on exception using finally; uses time.perf_counter for high-resolution timing.
Code:
import time, functools
def timing(func):
    @functools.wraps(func)
    def wrapper(*args, **kwargs):
        start = time.perf_counter()
        try:
            return func(*args, **kwargs)
        finally:
            elapsed = time.perf_counter() - start
            print(f"{func.__name__} took {elapsed:.6f}s")
    return wrapper
@timing
def work(n):
    sum(i*i for i in range(n))
work(1000000)  # prints: work took 0.0xxxxx s
Notes
- For async functions, make wrapper async and await the call.  
- For configurable output (e.g., logging instead of print) write a decorator factory: def timing(logger=None): return decorator.</t>
  </si>
  <si>
    <t>## Python Decorators
A decorator is a function that **wraps another function** to extend its behavior without modifying it. When you write `@decorator` above a function definition, Python essentially does:
```python
func = decorator(func)
```
The decorator receives the original function, defines an inner wrapper that adds logic before/after calling it, and returns the wrapper.
### Timing Decorator Example
```python
import time
import functools
def timer(func):
    @functools.wraps(func)  # preserves original name/docstring
    def wrapper(*args, **kwargs):
        start = time.perf_counter()
        result = func(*args, **kwargs)
        elapsed = time.perf_counter() - start
        print(f"{func.__name__} took {elapsed:.4f}s")
        return result
    return wrapper
@timer
def slow_add(a, b):
    time.sleep(1)
    return a + b
slow_add(2, 3)  # prints: slow_add took 1.00xxs
```
### Key points
- **`functools.wraps`** — always use it so introspection (`__name__`, `__doc__`, `help()`) reflects the original function, not the wrapper.
- **`*args, **kwargs`** — makes the wrapper generic so it works on any signature.
- **Stacking** — decorators compose bottom-up: `@a @b def f` means `f = a(b(f))`.
- **Parameterized decorators** — if you need arguments (e.g., `@timer(unit="ms")`), add another nesting level: a factory function that returns the actual decorator.</t>
  </si>
  <si>
    <t>Explain Python's GIL and how it affects multithreading vs multiprocessing.</t>
  </si>
  <si>
    <t>What is the GIL?
- GIL = Global Interpreter Lock (in CPython): a process-wide mutex that ensures only one native thread executes Python bytecode at a time.
- Rationale: simplifies memory management (reference counting) and makes many single-threaded C extensions easier to implement.
Effect on multithreading
- CPU-bound work: threads cannot run Python bytecode in parallel because of the GIL → no CPU speedup from multiple threads; context switches still cost overhead.
- I/O-bound work: threads often release the GIL while waiting (I/O, blocking syscalls or native libraries that call Py_BEGIN_ALLOW_THREADS), so many threads can overlap waiting and improve throughput/latency.
- C extensions: native code can release the GIL, so libraries like NumPy, lxml, or parts of CPython I/O can run in parallel.
Multiprocessing differences
- multiprocessing uses separate OS processes; each process has its own Python interpreter and GIL, so CPU-bound tasks can run truly in parallel across cores.
- Costs: higher memory use, process startup time, and IPC/serialization (pickling) overhead; more complex shared state.
Practical guidance &amp; trade-offs
- Use threads (ThreadPoolExecutor or asyncio) for I/O-bound concurrency; low overhead, easy shared-memory use.
- Use processes (ProcessPoolExecutor, multiprocessing) for CPU-bound tasks to utilize multiple cores.
- Alternatives: write/reuse native extensions that release the GIL, use vectorized libraries (NumPy), or run on implementations without a GIL (Jython/IronPython) where appropriate.
Example (pattern):
from concurrent.futures import ThreadPoolExecutor, ProcessPoolExecutor
# ThreadPoolExecutor for I/O; ProcessPoolExecutor for CPU-bound tasks.</t>
  </si>
  <si>
    <t>## Python's GIL (Global Interpreter Lock)
The GIL is a mutex in CPython that allows **only one thread to execute Python bytecode at a time**, even on multi-core machines. It exists to protect CPython's reference-counting memory management from race conditions.
### Impact on Multithreading
- **CPU-bound work** gets no parallel speedup — threads take turns holding the GIL, so multiple threads can actually be *slower* than a single thread due to lock contention.
- **I/O-bound work** benefits because the GIL is released during blocking I/O (network calls, file reads, `time.sleep`). Threads can overlap waiting, giving real concurrency.
```python
# Good use of threading: concurrent HTTP requests
with ThreadPoolExecutor(max_workers=10) as pool:
    results = pool.map(fetch_url, urls)
```
### Impact on Multiprocessing
- Each process gets its **own interpreter and GIL**, so CPU-bound work runs truly in parallel across cores.
- The trade-off is **higher overhead**: process startup cost, memory duplication, and IPC serialization (pickle) for shared data.
```python
# Good use of multiprocessing: CPU-heavy computation
with ProcessPoolExecutor(max_workers=4) as pool:
    results = pool.map(crunch_numbers, datasets)
```
### Quick Decision Guide
| Workload | Use | Why |
|---|---|---|
| I/O-bound | `threading` / `asyncio` | GIL released during I/O; low overhead |
| CPU-bound | `multiprocessing` | Bypasses GIL entirely |
| Mixed | Combine both, or use `concurrent.futures` | Match strategy to bottleneck |
**Note:** Python 3.13+ introduces an experimental free-threaded mode (`--disable-gil`) that removes the GIL entirely, enabling true thread-level parallelism for CPU-bound code — worth watching as it matures.</t>
  </si>
  <si>
    <t>Show how to read a very large CSV in Python in chunks with pandas to limit memory use.</t>
  </si>
  <si>
    <t>Approach
- Use pandas.read_csv with chunksize to stream file in manageable DataFrame pieces.
- Process each chunk and either (a) incrementally update aggregates, or (b) write filtered/transformed rows out to disk (CSV/HDF/parquet) to avoid accumulating data in memory.
Why chunking helps
- Only one chunk lives in memory at a time; overall memory stays bounded.
- Good for aggregations, filters, ETL, or incremental writes. Not suitable for ops that require whole-file sort/merge unless using external algorithms.
Example (incremental groupby, append results to file)
```python
import os
import pandas as pd
dtypes = {'id': 'int32', 'category': 'category', 'value': 'float32'}
chunksize = 100_000
reader = pd.read_csv('large.csv', usecols=['id','category','value'],
                     dtype=dtypes, parse_dates=['date'], chunksize=chunksize, engine='c')
out_path = 'category_sums.csv'
if os.path.exists(out_path): os.remove(out_path)
for i, chunk in enumerate(reader):
    chunk = chunk.dropna(subset=['category','value'])
    agg = chunk.groupby('category', observed=True)['value'].sum().reset_index()
    agg.to_csv(out_path, mode='a', index=False, header=(i==0))
```
Tips &amp; trade-offs
- Set explicit dtypes and usecols to cut memory. Check chunk.memory_usage(deep=True).sum() for sizing.
- Avoid pd.concat of all chunks; it defeats the purpose.
- For more complex workloads or parallelism consider Dask, Vaex, or loading into a DB/Parquet for efficient queries.</t>
  </si>
  <si>
    <t>## Reading Large CSVs in Chunks with Pandas
Use the `chunksize` parameter in `pd.read_csv()` to iterate over the file in fixed-size row batches instead of loading it all at once:
```python
import pandas as pd
chunks = pd.read_csv("large_file.csv", chunksize=100_000)
results = []
for chunk in chunks:
    # Process each chunk independently
    filtered = chunk[chunk["status"] == "active"]
    results.append(filtered)
# Combine only the filtered results
df = pd.concat(results, ignore_index=True)
```
**Key points:**
- `chunksize=N` returns a `TextFileReader` iterator yielding DataFrames of N rows each. Memory usage stays proportional to the chunk size, not the file size.
- **Aggregate without concatenating** when possible — if you only need a sum or mean, accumulate the result per chunk rather than collecting frames:
```python
total = 0
for chunk in pd.read_csv("large_file.csv", chunksize=100_000):
    total += chunk["revenue"].sum()
```
- Pair with `usecols` and `dtype` to further cut memory:
```python
pd.read_csv(
    "large_file.csv",
    chunksize=100_000,
    usecols=["id", "revenue", "status"],
    dtype={"id": "int32", "revenue": "float32", "status": "category"},
)
```
**Trade-offs:** Chunked reading is simple and works everywhere, but for truly huge datasets (tens of GB+), consider **Polars** (`pl.scan_csv` with lazy evaluation) or **DuckDB** (`duckdb.read_csv`) which handle out-of-core processing more efficiently and with less boilerplate.</t>
  </si>
  <si>
    <t>Explain the JavaScript event loop, including microtasks and macrotasks.</t>
  </si>
  <si>
    <t>Overview
- The event loop runs JavaScript by repeatedly taking one "task" (macrotask), executing it, then draining all queued microtasks before the next macrotask. This keeps I/O/UI interleaved with small, high-priority jobs.
Execution order (simplified)
1. Take one macrotask from the task queue (aka "task" — e.g., setTimeout, I/O, user events).
2. Execute it to completion.
3. Run all microtasks (Promise callbacks, queueMicrotask, MutationObserver) until none remain.
4. Perform rendering/paint (browser) then repeat.
Key differences and Node quirks
- Browsers: requestAnimationFrame ties to rendering; microtasks run before painting.
- Node: process.nextTick runs even before Promise microtasks; setImmediate runs in the "check" phase (after I/O).
Why it matters (practical)
- Promise.then callbacks always run before setTimeout(..., 0).
- Long macrotasks block the UI; use microtasks for short immediate work and macrotasks (or yielding) to keep UI responsive.
- Excessive microtask scheduling can starve macrotasks and block rendering.
Minimal example
console.log('start');
setTimeout(()=&gt;console.log('macrotask'),0);
Promise.resolve().then(()=&gt;console.log('promise'));
queueMicrotask(()=&gt;console.log('queueMicrotask'));
console.log('end');
// Expected: start, end, promise, queueMicrotask, macrotask
Trade-offs
- Microtasks: fast, predictable, but can starve UI.
- Macrotasks: safe for yielding, suitable for batching/cooperative multitasking.</t>
  </si>
  <si>
    <t>## JavaScript Event Loop
JavaScript is single-threaded. The **event loop** is the mechanism that lets it handle asynchronous work without blocking.
### How it works
1. **Call stack** — synchronous code executes here, one frame at a time.
2. **Task queues** — when async work completes, its callback is placed in a queue. The event loop picks tasks from these queues whenever the call stack is empty.
### Macrotasks vs. Microtasks
**Macrotasks** (aka "tasks"):
- `setTimeout`, `setInterval`, `setImmediate`, I/O callbacks, UI rendering events
- One macrotask is picked per loop iteration.
**Microtasks**:
- `Promise.then/catch/finally`, `queueMicrotask`, `MutationObserver`
- The **entire** microtask queue is drained after each macrotask (and after the initial script), before the next macrotask or any rendering.
### Execution order per loop tick
1. Execute the current macrotask (or initial script).
2. Drain all microtasks (including any microtasks they spawn).
3. Render updates (if needed, ~60 fps budget).
4. Pick the next macrotask. Repeat.
### Quick example
```js
console.log('1');              // sync
setTimeout(() =&gt; console.log('2'), 0);   // macrotask
Promise.resolve().then(() =&gt; console.log('3')); // microtask
console.log('4');              // sync
// Output: 1, 4, 3, 2
```
### Key takeaway
Microtasks always jump the queue ahead of macrotasks. This is why a resolved promise callback fires before a `setTimeout(..., 0)`, and why an infinite microtask loop will starve rendering and timers entirely.</t>
  </si>
  <si>
    <t>What is the difference between let, const and var in JavaScript?</t>
  </si>
  <si>
    <t>let vs const vs var
- var  
  - Function-scoped (or global), hoisted and initialized to undefined, can be redeclared and reassigned.  
  - Example: console.log(a); // undefined; var a = 1;
- let  
  - Block-scoped, hoisted but uninitialized (Temporal Dead Zone) → ReferenceError if used before declaration. Mutable, cannot redeclare in same scope.
- const  
  - Block-scoped, TDZ applies, must be initialized, cannot be reassigned (but object/array contents remain mutable).
Best practice: prefer const by default, use let when mutation is needed; avoid var.</t>
  </si>
  <si>
    <t>## `var` vs `let` vs `const`
### Scope
- **`var`** is **function-scoped** — it's visible throughout the entire function it's declared in, regardless of block boundaries.
- **`let`** and **`const`** are **block-scoped** — they exist only within the nearest `{ }` block (if, for, while, etc.).
### Hoisting
- All three are hoisted, but **`var`** is initialized to `undefined` at the top of its scope, so accessing it before its declaration returns `undefined`.
- **`let`** and **`const`** are hoisted but **not initialized**, creating a **Temporal Dead Zone (TDZ)** — accessing them before declaration throws a `ReferenceError`.
### Reassignment &amp; Redeclaration
- **`var`** can be reassigned and redeclared in the same scope (silently, which is error-prone).
- **`let`** can be reassigned but **not** redeclared in the same scope.
- **`const`** cannot be reassigned or redeclared. Note: for objects/arrays, the *binding* is immutable but the contents are still mutable.
### Quick example
```js
if (true) {
  var a = 1;
  let b = 2;
  const c = 3;
}
console.log(a); // 1 — var leaks out of the block
console.log(b); // ReferenceError — let is block-scoped
```
### Modern guidance
- Default to **`const`** for values that won't be reassigned.
- Use **`let`** when reassignment is needed.
- Avoid **`var`** — its scoping and hoisting behavior is a common source of bugs. It exists mainly for legacy compatibility.</t>
  </si>
  <si>
    <t>Show a debounce function in TypeScript and explain when to use it.</t>
  </si>
  <si>
    <t>Debounce (TypeScript) — what it does
- Delays a function call until a pause in events. Useful to reduce expensive work (API requests, layout, logging) from high-frequency events (input, scroll, resize).
Code (typed, supports leading/trailing, cancel, flush)
- paste into your utils file.
```ts
type AnyFn = (...args: any[]) =&gt; any;
type Debounced&lt;T extends AnyFn&gt; = ((...args: Parameters&lt;T&gt;) =&gt; void) &amp; {
  cancel: () =&gt; void;
  flush: () =&gt; void;
};
export function debounce&lt;T extends AnyFn&gt;(
  fn: T,
  wait = 200,
  { leading = false, trailing = true } = {}
): Debounced&lt;T&gt; {
  let timer: ReturnType&lt;typeof setTimeout&gt; | null = null;
  let lastArgs: Parameters&lt;T&gt; | null = null;
  let lastThis: any = null;
  let calledLeading = false;
  const invoke = () =&gt; {
    if (lastArgs) {
      fn.apply(lastThis, lastArgs);
      lastArgs = lastThis = null;
    }
    calledLeading = false;
  };
  function cancel() {
    if (timer) {
      clearTimeout(timer);
      timer = null;
    }
    lastArgs = lastThis = null;
    calledLeading = false;
  }
  function flush() {
    if (timer) {
      clearTimeout(timer);
      timer = null;
      invoke();
    }
  }
  function debounced(this: any, ...args: Parameters&lt;T&gt;) {
    lastArgs = args;
    lastThis = this;
    if (leading &amp;&amp; !calledLeading) {
      calledLeading = true;
      fn.apply(lastThis, lastArgs);
      lastArgs = lastThis = null;
      // still allow a trailing call if configured
    }
    if (timer) clearTimeout(timer);
    if (trailing) timer = setTimeout(invoke, wait);
  }
  debounced.cancel = cancel;
  debounced.flush = flush;
  return debounced as Debounced&lt;T&gt;;
}
```
When to use / trade-offs
- Use: search-as-you-type, window resize, autosave — when you want the final settled event.
- Trade-offs: adds latency to the first/last action; may drop intermediate events (not suitable when every event matters).
- Alternative: throttle if you need regular execution at fixed intervals instead of after inactivity.</t>
  </si>
  <si>
    <t>```typescript
function debounce&lt;T extends (...args: any[]) =&gt; void&gt;(
  fn: T,
  delay: number
): (...args: Parameters&lt;T&gt;) =&gt; void {
  let timeoutId: ReturnType&lt;typeof setTimeout&gt;;
  return (...args) =&gt; {
    clearTimeout(timeoutId);
    timeoutId = setTimeout(() =&gt; fn(...args), delay);
  };
}
```
## How it works
Each call resets a timer. The wrapped function only executes once the caller **stops invoking** it for `delay` ms. Only the last call's arguments are used.
## When to use it
- **Search-as-you-type** — avoid firing an API request on every keystroke; wait until the user pauses.
- **Window resize / scroll handlers** — recalculate layout only after the user finishes resizing.
- **Auto-save** — persist a draft only after the user stops typing.
## When *not* to use it
- When you need **regular, periodic** execution during continuous activity (use **throttle** instead — e.g., reporting scroll position while scrolling).
- When every invocation matters (e.g., click handlers for a "submit" button — users expect immediate response).
## Trade-offs
| Aspect | Note |
|---|---|
| **Latency** | Adds `delay` ms before anything happens — keep it short (150–300 ms) for interactive UI. |
| **Trailing call** | The default implementation above is *trailing-edge*. Add a `leading` option if you need the first call to fire immediately. |
| **Cleanup** | In React, clear the timeout on unmount (`useEffect` cleanup) to avoid state updates on unmounted components. |
For production use, libraries like `lodash.debounce` add `leading`/`trailing` options and a `.cancel()` method.</t>
  </si>
  <si>
    <t>Explain the difference between Promise.all, Promise.allSettled and Promise.race.</t>
  </si>
  <si>
    <t>Difference overview
- Promise.all: waits for all input promises to fulfill; returns an array of results in input order. If any input rejects, Promise.all rejects immediately with that first rejection (short-circuits).
- Promise.allSettled: waits for all input promises to settle (either fulfill or reject). Always fulfills with an array of outcome objects: { status: "fulfilled", value } or { status: "rejected", reason }.
- Promise.race: settles as soon as the first input promise settles (resolve or reject). The returned promise adopts that first promise’s outcome and value/reason.
When to use (practical)
- Promise.all: use when every task must succeed and you want combined results (e.g., parallel data fetches that are all required).
- Promise.allSettled: use when you need the outcome of every task regardless of failures (e.g., bulk operations where partial success is acceptable and you want per-item results).
- Promise.race: use when you want the fastest response (e.g., timeout wrappers, first-available resource). Beware it can reject quickly if the fastest promise rejects.
Trade-offs &amp; notes
- all short-circuits on first rejection; easier error path but loses info about other tasks.
- allSettled preserves full outcomes but requires manual filtering/aggregation.
- race is about latency, not correctness—may expose transient failures.
- None provide cancellation; use AbortSignal or separate cancellation patterns if needed.
Small example
const p1 = Promise.resolve(1), p2 = Promise.reject(new Error('x'));
Promise.all([p1,p2]) // rejects with Error('x')
Promise.allSettled([p1,p2]) // [{status:'fulfilled',value:1},{status:'rejected',reason:Error}]
Promise.race([p1,p2]) // settles with p1 (1) because it resolves first</t>
  </si>
  <si>
    <t>## Promise Combinators
### `Promise.all(promises)`
Waits for **every** promise to fulfill. Returns an array of results in input order. **Short-circuits on the first rejection** — if any promise rejects, the whole result rejects immediately and remaining results are discarded.
```js
const [a, b] = await Promise.all([fetchUser(), fetchOrders()]);
// If either rejects, you land in the catch block.
```
**Use when:** you need all results and a single failure means the whole operation is meaningless.
---
### `Promise.allSettled(promises)`
Waits for **every** promise to settle (fulfill *or* reject). **Never short-circuits.** Returns an array of outcome objects:
```js
// { status: "fulfilled", value: ... }
// { status: "rejected",  reason: ... }
```
**Use when:** you want to attempt everything and handle individual failures afterward (e.g., batch operations where partial success is acceptable).
---
### `Promise.race(promises)`
Resolves or rejects as soon as the **first** promise settles, mirroring that promise's outcome. The remaining promises keep running but their results are ignored.
```js
const result = await Promise.race([fetch(url), timeout(5000)]);
```
**Use when:** you care about the fastest response — timeouts, redundant requests, or picking the first available resource.
---
### Quick comparison
| | Waits for | Short-circuits? | Result shape |
|---|---|---|---|
| `all` | All fulfilled | Yes (on reject) | `value[]` |
| `allSettled` | All settled | No | `{status, value/reason}[]` |
| `race` | First settled | Yes (first wins) | Single value |
**Bonus:** `Promise.any` (not asked, but related) resolves on the first *fulfillment* and only rejects if *all* reject — the optimistic counterpart to `race`.</t>
  </si>
  <si>
    <t>What are the React hooks useEffect and useMemo, and when should each be used?</t>
  </si>
  <si>
    <t>useEffect vs useMemo — quick reference
What they are
- useEffect: runs side‑effects after the component renders (commit phase). Use for I/O: network requests, subscriptions, timers, DOM mutations, and cleanup.
- useMemo: memoizes a computed value between renders. Use for expensive calculations or to keep a stable reference so children/components don’t re‑compute or re‑render unnecessarily.
When to use each
- useEffect
  - Fetch data, subscribe/unsubscribe, set timers, imperatively interact with DOM.
  - Use the cleanup function to tear down (unsubscribe, clear timers).
  - Runs after paint (won’t block rendering); predictable with dependency array.
- useMemo
  - Cache expensive computations derived from props/state.
  - Keep stable object/array/function references to avoid re‑rendering children (paired with React.memo).
  - Not for side‑effects. It’s an optimization hint, not a correctness tool.
Key details &amp; trade‑offs
- Dependencies matter: both accept a deps array. Wrong deps -&gt; stale values or extra runs.
- useEffect can be async (you may call async inside it); useMemo must return synchronously.
- Overuse of useMemo adds complexity and memory overhead; measure first.
- useMemo does not guarantee memoization in all cases — React may evict memoized values.
Examples
- useEffect (fetch + cleanup):
  const [data, setData] = useState(null);
  useEffect(() =&gt; { let mounted = true; fetch('/x').then(r=&gt;r.json()).then(d=&gt; mounted &amp;&amp; setData(d)); return () =&gt; { mounted = false }; }, []);
- useMemo (expensive calc):
  const total = useMemo(() =&gt; expensiveSum(items), [items]);
Use effects for side‑effects, useMemo for pure expensive calculations or stable references.</t>
  </si>
  <si>
    <t>## `useEffect` — Synchronize with external systems
`useEffect` runs a side effect **after render**. Use it to interact with things outside React's rendering model:
- **Data fetching** (API calls)
- **Subscriptions** (WebSockets, event listeners)
- **DOM mutations** (focus, scroll, measuring layout)
- **Timers** (`setTimeout`, `setInterval`)
```jsx
useEffect(() =&gt; {
  const id = setInterval(tick, 1000);
  return () =&gt; clearInterval(id); // cleanup
}, [tick]); // re-run only when `tick` changes
```
**Key points:** Always declare dependencies honestly. Return a cleanup function when the effect allocates resources. Runs asynchronously after paint, so it never blocks rendering.
---
## `useMemo` — Cache an expensive computation
`useMemo` returns a **memoized value** recomputed only when its dependencies change. Use it when:
- A calculation is **expensive** (sorting/filtering large lists, complex math).
- You need **referential stability** for an object/array passed as a prop or dependency to avoid unnecessary re-renders or effect re-runs.
```jsx
const sorted = useMemo(
  () =&gt; items.toSorted((a, b) =&gt; a.price - b.price),
  [items]
);
```
**Key points:** It's a performance optimization, not a semantic guarantee — React may discard cached values. Don't use it for side effects.
---
## When to pick which
| Situation | Hook |
|---|---|
| Need to "do something" (fetch, subscribe, log) | `useEffect` |
| Need to "compute something" without re-doing it every render | `useMemo` |
**Common mistake:** using `useEffect` + `setState` to derive state from props/state. That causes an extra render cycle — `useMemo` (or often just computing inline) is the right tool there.</t>
  </si>
  <si>
    <t>Why does this Python code print [2, 2, 2]? funcs = [lambda: i for i in range(3)]; print([f() for f in funcs])</t>
  </si>
  <si>
    <t>Cause
- Lambdas close over the loop variable i, not its value. The comprehension creates three functions that all reference the same variable i. After the loop finishes, i == 2, so calling each lambda returns 2 (hence [2, 2, 2]).
Quick fixes
- Capture the current value with a default argument:
  funcs = [lambda i=i: i for i in range(3)]
  print([f() for f in funcs])  # [0, 1, 2]
- Use a factory function to bind the value:
  def make(v): return lambda: v
  funcs = [make(i) for i in range(3)]
Trade-offs / notes
- Default-arg is concise and idiomatic; factory function is clearer when the binding logic is more complex.
- This is a classic "late binding" closure behavior in Python; always explicitly capture loop values if you need per-iteration state.</t>
  </si>
  <si>
    <t>## Late Binding in Python Closures
The `lambda: i` captures the **variable `i` by reference**, not its value at the time each lambda is created. By the time you call the functions, the `for` loop has finished and `i` is bound to `2` (its final value). All three lambdas share that same `i`, so they all return `2`.
### Fix: capture `i` by value with a default argument
```python
funcs = [lambda i=i: i for i in range(3)]
print([f() for f in funcs])  # [0, 1, 2]
```
The default argument `i=i` evaluates `i` **at function-definition time**, giving each lambda its own snapshot.
### Alternative: `functools.partial`
```python
from functools import partial
funcs = [partial(lambda i: i, i) for i in range(3)]
```
### Why Python works this way
Python closures use **late binding** — the enclosed variable is looked up when the function is **called**, not when it's **defined**. This is consistent with how all name resolution works in Python (via the LEGB scope chain), but it surprises people in loops because the loop variable mutates in place rather than creating a new binding per iteration (unlike `let` in JavaScript's `for` loops).
**Rule of thumb:** whenever you create closures inside a loop, bind the loop variable via a default argument or `partial` to avoid this trap.</t>
  </si>
  <si>
    <t>Review this SQL for problems: SELECT * FROM orders WHERE YEAR(created_at) = 2024 AND status LIKE '%paid%'</t>
  </si>
  <si>
    <t>Summary of problems
- SELECT *: returns unnecessary columns, can harm I/O and exposes schema.
- YEAR(created_at) = 2024: applies a function to the column so any created_at index is not used (slow full scan). Also DB portability: YEAR() exists in MySQL but not all engines.
- status LIKE '%paid%': leading % causes full scan and may overmatch (e.g., "unpaid", "prepaid"); case-sensitivity depends on collation.
Recommendations (preferred)
- Use a range on created_at to use indexes and avoid timezone mistakes:
  SELECT id, customer_id, total, created_at, status
  FROM orders
  WHERE created_at &gt;= '2024-01-01' AND created_at &lt; '2025-01-01'
    AND status = 'paid';
Alternatives / trade-offs
- If statuses aren’t normalized, use a normalized column or a status enum; if case-insensitive matching required, create a functional index (e.g., LOWER(status)) rather than LOWER(status) in WHERE.
- If you must match substrings, consider full-text search or avoid leading % to keep index usage.</t>
  </si>
  <si>
    <t>## SQL Review
### Performance Issues
- **`YEAR(created_at)` kills index usage.** Wrapping a column in a function prevents the optimizer from using an index on `created_at`. Replace with a range predicate:
  ```sql
  WHERE created_at &gt;= '2024-01-01' AND created_at &lt; '2025-01-01'
  ```
- **`LIKE '%paid%'` with a leading wildcard** also prevents index use on `status`. If `status` is an enum-like column with known values (e.g., `paid`, `partially_paid`), use explicit matching:
  ```sql
  WHERE status IN ('paid', 'partially_paid')
  ```
### Other Concerns
- **`SELECT *`** — pulls every column, which wastes I/O and memory. Select only the columns you need, especially if the table has large text/blob fields.
- **Implicit time-zone assumptions** — `'2024-01-01'` is interpreted in the session time zone. If `created_at` stores UTC but your session is in a local zone, you'll get shifted boundaries. Be explicit about which zone you mean.
- **No `ORDER BY` or `LIMIT`** — on a large table this can return an unpredictable, potentially massive result set.
### Suggested Rewrite
```sql
SELECT order_id, customer_id, total, status, created_at
FROM orders
WHERE created_at &gt;= '2024-01-01'
  AND created_at &lt; '2025-01-01'
  AND status IN ('paid', 'partially_paid')
ORDER BY created_at DESC
LIMIT 1000;
```
The biggest win is the range predicate on `created_at` — that alone can turn a full table scan into an index seek.</t>
  </si>
  <si>
    <t>A Java service throws OutOfMemoryError after running for two days. How would you investigate?</t>
  </si>
  <si>
    <t>Steps to investigate an OutOfMemoryError (OOME)
- Summary approach: safely collect evidence (logs, dumps, metrics), classify the OOME type, analyse heap/natives, fix root cause or mitigate, and add monitoring/guards.
1) Immediate triage
- Read the exact OOME message and server logs (timestamped). OOME subtype matters (Java heap, GC overhead, Metaspace, DirectBuffer, native).
- Check host/container memory/cgroup limits, OOM-killer, ulimits and swap. Verify machine-level memory usage, not just JVM.
2) Collect artifacts (non-invasive, in priority order)
- Enable/ensure: -XX:+HeapDumpOnOutOfMemoryError -XX:HeapDumpPath=/var/tmp
- Produce an on-demand heap dump: jcmd &lt;pid&gt; GC.heap_dump /tmp/heap.hprof
- Get GC logs: start with -Xlog:gc*,gc+heap:file=/var/log/gc.log:time,uptime,level
- Thread dump: jstack -l &lt;pid&gt; &gt; threads.txt
- Class histogram: jcmd &lt;pid&gt; GC.class_histogram
- Native memory: run with -XX:NativeMemoryTracking=summary and jcmd &lt;pid&gt; VM.native_memory summary
- Note: dumps and jcmd can pause the app and need disk space.
3) Analyse
- Heap: open .hprof in Eclipse MAT or YourKit — check dominator tree (“biggest retained”), GC roots, suspicious singletons, growing collections, many instances of one class.
- Classloader leaks: many classes from same loader, excessive PermGen/Metaspace retention.
- Native/direct leaks: look for java.nio.DirectByteBuffer, Netty ByteBufs, JNI allocations.
- GC logs: check promotion rate, old gen growth, fragmentation, long pauses or Full GCs.
- Thread dumps: blocked threads, creating many objects, ThreadLocal retention.
4) Common causes &amp; fixes
- Unbounded caches/collections — add size limits, eviction, weak/soft refs.
- ThreadLocal leak — ensure removal on thread pool reuse.
- Retained references from listeners, static maps, session stores — remove when unused.
- Native buffer leaks (Netty) — enable leak detector, limit -XX:MaxDirectMemorySize.
- Classloader leaks — fix redeploy patterns or drop dynamic class generation.
5) Mitigation &amp; prevention
- Short-term: rotate/restart pod, increase heap only as temporary relief.
- Long-term: add metrics (heap, GC pause, direct memory, object alloc rates), alerts, automated heap-dump-on-high-usage, regular memory profiling in staging.
- Trade-offs: bigger heap reduces OOME frequency but lengthens GC pauses and masks leaks; heap dumps pause app and consume disk.
Example commands (for reference)
- jcmd &lt;pid&gt; GC.heap_dump /tmp/heap.hprof
- jstack -l &lt;pid&gt; &gt; threads.txt
- jcmd &lt;pid&gt; GC.class_histogram
If helpful, can produce a prioritized checklist tailored to your runtime (G1/ZGC, container-or-hosted, Netty usage).</t>
  </si>
  <si>
    <t>## Investigating Java OutOfMemoryError
### 1. Capture a Heap Dump
Add these JVM flags so you get a dump automatically on crash:
```
-XX:+HeapDumpOnOutOfMemoryError -XX:HeapDumpPath=/tmp/heapdump.hprof
```
If the service is still running, grab a live dump with `jmap -dump:live,format=b,file=heap.hprof &lt;pid&gt;`.
### 2. Analyze the Dump
Open it in **Eclipse MAT** or **VisualVM**. Look for:
- **Dominator tree** — which objects retain the most memory.
- **Leak suspects report** — MAT's automatic analysis often points straight to the culprit.
- Collections that grew unboundedly (caches, maps, lists).
### 3. Monitor Over Time
Attach **JMX / Grafana + Micrometer** or use `jstat -gcutil &lt;pid&gt; 5s` to watch:
- Old-gen usage trending upward across GC cycles (classic leak signature).
- GC frequency and pause times increasing.
### 4. Common Root Causes
- **Unbounded caches** — no eviction policy or TTL.
- **Listener/callback leaks** — registering without deregistering.
- **Session or connection objects** accumulating.
- **ClassLoader leaks** — common in hot-redeploy scenarios.
- **Large result sets** loaded entirely into memory (missing pagination/streaming).
### 5. Quick Mitigations While Investigating
- Increase heap (`-Xmx`) to buy time — this doesn't fix the leak.
- Enable GC logging (`-Xlog:gc*`) for post-mortem analysis.
- Add `-XX:+ExitOnOutOfMemoryError` so the process restarts cleanly rather than running in a degraded state.
**Key trade-off:** Heap dumps on large heaps (&gt;8 GB) can pause the JVM for seconds and consume significant disk — schedule or trigger them carefully in production.</t>
  </si>
  <si>
    <t>What is wrong with this JavaScript and how do you fix it? for (var i = 0; i &lt; 3; i++) { setTimeout(() =&gt; console.log(i), 100); }</t>
  </si>
  <si>
    <t>What's wrong
- Using var makes i function-scoped so each timeout closes over the same variable. By the time callbacks run, i === 3, so it logs 3 three times.
Why it happens (brief)
- The arrow functions capture the binding, not its value; the loop updates that single binding.
How to fix
- Preferred (modern): use block-scoped let so each iteration gets its own i.
  const code: for (let i = 0; i &lt; 3; i++) { setTimeout(() =&gt; console.log(i), 100); }
- Old environments: capture the value with an IIFE.
  for (var i = 0; i &lt; 3; i++) { (function(j){ setTimeout(()=&gt;console.log(j),100); })(i); }
- Alternate concise: pass i as an argument to setTimeout.
  for (var i = 0; i &lt; 3; i++) setTimeout(console.log, 100, i);
Trade-offs
- let is simplest and readable; IIFE works in ES5; passing an argument is terse but relies on setTimeout argument forwarding.</t>
  </si>
  <si>
    <t>## The Problem: `var` and Closure over a Shared Variable
`var` is function-scoped (not block-scoped), so there is only **one** `i` shared by all three callbacks. By the time the `setTimeout` fires (~100 ms later), the loop has already finished and `i` is `3`. You get:
```
3
3
3
```
instead of the expected `0, 1, 2`.
## Fixes
**1. Use `let` (preferred)**
```js
for (let i = 0; i &lt; 3; i++) {
  setTimeout(() =&gt; console.log(i), 100);
}
```
`let` is block-scoped, so each iteration gets its own `i`.
**2. IIFE (pre-ES6 fallback)**
```js
for (var i = 0; i &lt; 3; i++) {
  (function (j) {
    setTimeout(() =&gt; console.log(j), 100);
  })(i);
}
```
The IIFE captures the current value of `i` into a new parameter `j` per iteration.
**3. Third argument of `setTimeout`**
```js
for (var i = 0; i &lt; 3; i++) {
  setTimeout((j) =&gt; console.log(j), 100, i);
}
```
Extra arguments to `setTimeout` are passed to the callback, capturing the value at call time.
## Recommendation
Use **`let`**. It's the cleanest solution, signals intent clearly, and avoids `var` hoisting surprises entirely. There's no meaningful trade-off — `let` is supported in all modern environments.</t>
  </si>
  <si>
    <t>A REST API endpoint is slow only under load. Give a step-by-step approach to find the bottleneck.</t>
  </si>
  <si>
    <t>Summary
- Systematically reproduce the problem under controlled load, measure, trace, isolate, fix, and verify. Focus on p99/p90 latencies and bottlenecks (DB, CPU, I/O, contention, external calls).
Step‑by‑step investigation
1. Reproduce with a realistic load profile
   - Use a staging env sized like prod (data, warm caches, auth).
   - Run traffic matching peak RPS, burstiness, and request mix.
2. Collect high‑level telemetry
   - Request rate, error rate, latency percentiles (p50/p90/p99), throughput.
   - Host/VM metrics: CPU, memory, disk I/O, network, file descriptors.
   - LB/proxy metrics and autoscaler events.
3. Add/inspect distributed tracing
   - Capture full spans (gateway → app → DB → external).
   - Find the longest spans and components that dominate p99 time.
4. Narrow to component
   - App CPU hot: run sampling profiler / flame graphs at peak.
   - Blocking threads: take thread dumps during slowness to find locks/waits.
   - I/O bound: check syscalls, disk wait, network latency.
   - DB bound: collect slow query log, check EXPLAIN plans, locks, long transactions, and index usage.
   - External deps: measure their latency under concurrent calls; consider mocking.
5. Check resource saturation and queuing
   - Connection pool exhaustion, thread‑pool queueing, semaphore limits, GC pauses.
   - Observe queue lengths, active connections, threads in WAIT/IO states.
6. Hypothesize &amp; test targeted fixes
   - Short term: tune timeouts, increase pool sizes, add retries/backoff, apply caching (edge or application).
   - Medium term: batch operations, async/nonblocking paths, DB query optimization (indexes, denormalization).
   - Long term: sharding, read replicas, horizontal scaling, circuit breakers.
7. Validate under load and roll out
   - A/B or canary deploy; re-run load tests; monitor p99 and error rates.
   - Add synthetic SLO tests and alerts focused on p99.
Trade‑offs (brief)
- Caching reduces load but adds staleness and invalidation complexity.
- Async/batching reduces latency but increases complexity/retry surfaces.
- Vertical scaling is fast but costly; horizontal scaling requires state management.
Deliverable checklist
- Repro script and load profile, traces showing hotspot, profiling/thread‑dump evidence, targeted fixes tested under load, canary rollout plan, updated alerts/SLOs.</t>
  </si>
  <si>
    <t>## Diagnosing a REST API Bottleneck Under Load
### 1. Reproduce and Baseline
- Use a load-testing tool (k6, Locust, JMeter) to reproduce the slowdown with realistic concurrency.
- Record p50/p95/p99 latencies and throughput at increasing load levels to find the inflection point.
### 2. Check Infrastructure Metrics
- **CPU / Memory / Disk I/O** on the app server — saturation here points to compute-bound or GC issues.
- **Network** — look for connection queue depth, TCP retransmits, or bandwidth limits.
- **Thread/connection pool exhaustion** — most frameworks cap concurrent workers; once full, requests queue.
### 3. Profile the Database
- Monitor **active connections, lock waits, and slow queries** under load.
- A query fast in isolation can block under concurrency due to row/table locks or connection pool starvation.
- Check for missing indexes that only matter at scale (sequential scans tolerable at low QPS, deadly at high QPS).
### 4. Trace Individual Requests
- Add **distributed tracing** (OpenTelemetry, Jaeger) to break each request into spans: handler, DB, cache, external calls.
- Compare a trace at low load vs. high load — the span that grows is your bottleneck.
### 5. Look for Contention
- **Application-level locks** (mutexes, synchronized blocks) that serialize work.
- **Shared caches** (Redis, Memcached) — check hit rate drop-off and connection limits.
- **Upstream rate limits** from third-party services.
### 6. Validate and Fix
- Address the narrowest bottleneck first (connection pool size, missing index, lock scope).
- Re-run the load test to confirm improvement and check the next bottleneck hasn't surfaced.
**Key trade-off:** Increasing pool sizes or threads shifts pressure downstream — always verify the downstream resource can handle it.</t>
  </si>
  <si>
    <t>Explain the difference between INNER JOIN, LEFT JOIN and FULL OUTER JOIN with a small example.</t>
  </si>
  <si>
    <t>Summary
- INNER JOIN: returns only rows with matching keys on both sides.
- LEFT JOIN: returns all left-table rows; non-matching right-side columns are NULL.
- FULL OUTER JOIN: returns all rows from both tables; non-matches have NULLs on the missing side.
Example data
- employees: (1,Alice,dept_id=10), (2,Bob,dept_id=20), (3,Carol,dept_id=NULL)
- departments: (10,Sales), (30,Marketing)
SQL + results (conceptual)
- INNER:
  SELECT e.name,d.name FROM employees e INNER JOIN departments d ON e.dept_id=d.id;
  → (Alice, Sales)
- LEFT:
  SELECT e.name,d.name FROM employees e LEFT JOIN departments d ON e.dept_id=d.id;
  → (Alice, Sales), (Bob, NULL), (Carol, NULL)
- FULL OUTER:
  SELECT e.name,d.name FROM employees e FULL OUTER JOIN departments d ON e.dept_id=d.id;
  → (Alice, Sales), (Bob, NULL), (Carol, NULL), (NULL, Marketing)
Notes / trade-offs
- Use INNER for strict matches, LEFT when you need all left rows, FULL when you need unmatched rows from either side.
- FULL OUTER may be unsupported (e.g., older MySQL); emulate with LEFT UNION RIGHT. Index join keys for performance.</t>
  </si>
  <si>
    <t>## SQL Join Types
Given two tables:
```
Employees          Departments
id | dept_id       id | name
---|--------       ---|------
1  | 10            10 | Sales
2  | 20            30 | HR
3  | NULL
```
### INNER JOIN
Returns only rows that match in **both** tables.
```sql
SELECT * FROM Employees e INNER JOIN Departments d ON e.dept_id = d.id;
-- Result: Employee 1 + Sales (only match)
```
### LEFT JOIN (LEFT OUTER JOIN)
Returns **all rows from the left table**, plus matched rows from the right. Unmatched right-side columns become `NULL`.
```sql
SELECT * FROM Employees e LEFT JOIN Departments d ON e.dept_id = d.id;
-- Employee 1 + Sales
-- Employee 2 + NULL  (dept 20 doesn't exist)
-- Employee 3 + NULL  (dept_id is NULL)
```
### FULL OUTER JOIN
Returns **all rows from both tables**. Unmatched sides get `NULL`.
```sql
SELECT * FROM Employees e FULL OUTER JOIN Departments d ON e.dept_id = d.id;
-- Employee 1 + Sales
-- Employee 2 + NULL
-- Employee 3 + NULL
-- NULL       + HR   (dept 30 has no employees)
```
### When to use which
| Join | Use case |
|------|----------|
| **INNER** | You only care about records that exist on both sides |
| **LEFT** | You need every row from the "primary" table, even without a match |
| **FULL OUTER** | You need a complete picture of both sides, including orphans |
**Trade-off:** LEFT and FULL OUTER joins produce more rows and NULLs, which can hurt performance on large tables and require `COALESCE`/null-handling in application code. Note that MySQL doesn't support `FULL OUTER JOIN` natively — you'd emulate it with a `UNION` of LEFT and RIGHT joins.</t>
  </si>
  <si>
    <t>Show a SQL query that returns the top 3 highest-paid employees per department.</t>
  </si>
  <si>
    <t>Answer — top 3 highest-paid employees per department
- Approach: use a window function to rank employees by salary within each department, then filter to the top 3.
- Trade-offs:
  - ROW_NUMBER: returns exactly 3 rows per department but breaks ties arbitrarily.
  - RANK / DENSE_RANK: preserves ties (may return more than 3 rows when salaries tie).
SQL (ROW_NUMBER — exactly 3 per department)
```sql
SELECT employee_id, name, department_id, salary
FROM (
  SELECT e.*,
         ROW_NUMBER() OVER (PARTITION BY department_id ORDER BY salary DESC) AS rn
  FROM employees e
) t
WHERE rn &lt;= 3
ORDER BY department_id, salary DESC;
```
SQL (RANK — include ties; may return &gt;3 per department)
```sql
SELECT employee_id, name, department_id, salary
FROM (
  SELECT e.*,
         RANK() OVER (PARTITION BY department_id ORDER BY salary DESC) AS rnk
  FROM employees e
) t
WHERE rnk &lt;= 3
ORDER BY department_id, salary DESC;
```
Use ROW_NUMBER if you need a fixed count; use RANK/DENSE_RANK when ties must be honored.</t>
  </si>
  <si>
    <t>## Top 3 Highest-Paid Employees Per Department
Use a **window function** with `ROW_NUMBER()` (or `RANK()` / `DENSE_RANK()` if you want to handle ties differently):
```sql
SELECT department_id, employee_id, name, salary
FROM (
    SELECT
        department_id,
        employee_id,
        name,
        salary,
        ROW_NUMBER() OVER (
            PARTITION BY department_id
            ORDER BY salary DESC
        ) AS rn
    FROM employees
) ranked
WHERE rn &lt;= 3
ORDER BY department_id, salary DESC;
```
### Which ranking function to pick?
| Function | Behavior with ties | Result for salaries 100k, 90k, 90k, 80k |
|---|---|---|
| `ROW_NUMBER()` | Arbitrary tiebreak — always exactly 3 rows per dept | ranks 1, 2, 3, 4 |
| `RANK()` | Ties share a rank, next rank is skipped — may return **fewer** than 3 rows or **more** | ranks 1, 2, 2, 4 |
| `DENSE_RANK()` | Ties share a rank, no gap — may return **more** than 3 rows | ranks 1, 2, 2, 3 |
Pick `DENSE_RANK()` if you want *all* employees in the top 3 salary tiers (including ties). Pick `ROW_NUMBER()` if you need a strict limit of 3 rows per department.</t>
  </si>
  <si>
    <t>When should you add a database index, and when can an index hurt performance?</t>
  </si>
  <si>
    <t>When to add an index
- Frequent predicates: columns used often in WHERE, JOIN, ORDER BY, GROUP BY, DISTINCT.
- High-read / low-write workloads: reads benefit most.
- High-selectivity columns: values narrow results (e.g., user_id, email, UUID).
- Foreign keys and lookup keys: speed joins and lookups.
- Covering index opportunity: include additional columns to satisfy queries without fetching table rows.
When an index can hurt performance
- Write-heavy tables: INSERT/UPDATE/DELETE must maintain every index → higher latency and I/O.
- Low-selectivity columns: booleans, tiny enums, or fields with few distinct values usually not useful.
- Small tables: full table scan cheaper than index overhead.
- Many redundant indexes: waste space, slow writes, confuse optimizer.
- Frequently-updated columns: index maintenance increases contention.
- Large indexes increase storage, cache pressure, and can worsen overall query plans.
How to choose &amp; validate
- Prefer composite index matching query order (WHERE a = ? AND b = ? → (a,b)).
- Use INCLUDE (or covering) for extra returned columns (reduces lookups).
- Use partial/filtered indexes for sparse predicates.
- Measure: EXPLAIN/EXPLAIN ANALYZE, slow-query logs, before/after benchmarks.
- Remove unused indexes (monitor pg_stat_user_indexes / equivalent).
Quick examples
- Single: CREATE INDEX idx_users_email ON users(email);
- Composite with include (Postgres/MSSQL): CREATE INDEX idx_o_c_d ON orders(customer_id, created_at) INCLUDE (total);
Trade-off summary
Indexes trade faster reads for slower writes and more storage—add them when read latency is critical and validated by query plans; avoid them when writes, updates, or low selectivity negate the benefit.</t>
  </si>
  <si>
    <t>## When to Add a Database Index
**Add an index when:**
- A column appears frequently in `WHERE`, `JOIN`, `ORDER BY`, or `GROUP BY` clauses
- The column has **high cardinality** (many distinct values) — e.g., email, user ID
- You're querying a large table and seeing full table scans in your query plan (`EXPLAIN`)
- You need to enforce uniqueness (unique indexes)
- A foreign key column is used in joins but isn't automatically indexed (e.g., MySQL InnoDB indexes FK columns, PostgreSQL does not)
**When an index hurts:**
- **Write-heavy tables** — every `INSERT`, `UPDATE`, and `DELETE` must also update the index, adding overhead. On a high-throughput ingestion table, extra indexes can measurably degrade write performance.
- **Low-cardinality columns** — indexing a boolean or status column with 3 values rarely helps; the optimizer may ignore it entirely and prefer a sequential scan.
- **Small tables** — a full scan of a few thousand rows is often faster than the extra indirection of an index lookup.
- **Rarely queried columns** — an index that no query uses just wastes disk space and slows writes for nothing.
- **Over-indexing** — each additional index increases storage, memory pressure (indexes compete for buffer pool/cache), and vacuum/maintenance cost.
## Practical Rule of Thumb
Start without indexes beyond the primary key and foreign keys. Profile with real queries (`EXPLAIN ANALYZE`), identify slow scans, and add targeted indexes. Composite indexes should match your most common query patterns (leftmost-prefix rule). Periodically audit for unused indexes — most databases expose usage stats (e.g., `pg_stat_user_indexes`).</t>
  </si>
  <si>
    <t>Explain database normalization up to third normal form with an example.</t>
  </si>
  <si>
    <t>Goal
- Remove redundancy, avoid update/insert/delete anomalies, and ensure data depends on keys.
1. First Normal Form (1NF)
- Rule: Each column holds atomic (indivisible) values; each row is unique.
- Violation example: a single Orders row contains multiple products in one column (repeating groups).
- Fix: Represent each order‑product as its own row.
2. Second Normal Form (2NF)
- Rule: Be in 1NF and every non-key attribute must depend on the whole primary key (no partial dependency).
- Applies only when the PK is composite.
- Example: ORDER_ITEMS(OrderID, ProductID, ProductName, UnitPrice, Quantity). ProductName/UnitPrice depend only on ProductID (partial), not the full composite PK → move product attributes to PRODUCTS.
3. Third Normal Form (3NF)
- Rule: Be in 2NF and no non-key attribute transitively depends on the key (no A → B → C).
- Example: If CUSTOMERS stores ZipCode and City, and City is determined by ZipCode, then City transitively depends on CustomerID via ZipCode → extract ZIP table.
Concrete example (e-commerce)
- Bad (single table, redundant):
  Orders(OrderID, OrderDate, CustomerName, CustomerAddress, ProductID, ProductName, UnitPrice, Quantity)
- Normalized to 3NF (final schema):
  - CUSTOMERS(customer_id PK, name, address, zip_code)
  - PRODUCTS(product_id PK, name, unit_price)
  - ORDERS(order_id PK, customer_id FK, order_date)
  - ORDER_ITEMS(order_id FK, product_id FK, quantity, PRIMARY KEY(order_id, product_id))
SQL snippet (final):
CREATE TABLE PRODUCTS (product_id INT PRIMARY KEY, name TEXT, unit_price DECIMAL);
CREATE TABLE CUSTOMERS (customer_id INT PRIMARY KEY, name TEXT, address TEXT, zip_code VARCHAR(10));
CREATE TABLE ORDERS (order_id INT PRIMARY KEY, customer_id INT REFERENCES CUSTOMERS(customer_id), order_date DATE);
CREATE TABLE ORDER_ITEMS (order_id INT REFERENCES ORDERS(order_id), product_id INT REFERENCES PRODUCTS(product_id), quantity INT, PRIMARY KEY(order_id, product_id));
Trade-offs
- + Eliminates redundancy and anomalies; easier updates.
- − More joins (possible read-performance cost); sometimes denormalize for read-heavy systems.</t>
  </si>
  <si>
    <t>## Database Normalization (1NF → 3NF)
Normalization eliminates redundancy and update anomalies by progressively decomposing tables.
### 1NF — Atomic Values
Every column holds a single value; no repeating groups.
**Violation:** A single `phones` column storing `"555-1234, 555-5678"`.
**Fix:** One row per phone number, or a separate `phones` table.
### 2NF — No Partial Dependencies
Already in 1NF **and** every non-key column depends on the *entire* composite key, not just part of it.
**Example (violates 2NF):**
| student_id | course_id | course_name | grade |
|---|---|---|---|
| 1 | CS101 | Databases | A |
`course_name` depends only on `course_id`, not on the full key (`student_id, course_id`).
**Fix:** Split into:
- **Enrollments** (`student_id`, `course_id`, `grade`)
- **Courses** (`course_id`, `course_name`)
### 3NF — No Transitive Dependencies
Already in 2NF **and** no non-key column depends on another non-key column.
**Example (violates 3NF):**
| employee_id | dept_id | dept_name |
|---|---|---|
| 42 | D3 | Engineering |
`dept_name` depends on `dept_id`, not directly on `employee_id` — a transitive dependency.
**Fix:** Split into:
- **Employees** (`employee_id`, `dept_id`)
- **Departments** (`dept_id`, `dept_name`)
### Trade-offs
- Normalization **reduces** data duplication and update anomalies.
- It **increases** join complexity; read-heavy workloads sometimes intentionally denormalize for performance.
A good rule of thumb: normalize by default, denormalize deliberately with justification.</t>
  </si>
  <si>
    <t>Compare PostgreSQL and MongoDB for a product catalog with frequently changing attributes.</t>
  </si>
  <si>
    <t>Overview
- Problem: product catalog where attribute sets change frequently (different SKUs have different fields).
- Two sensible approaches: document DB (MongoDB) or relational DB with JSON support (PostgreSQL JSONB).
Schema &amp; flexibility
- MongoDB: Naturally stores per-product attributes as nested documents; no migration needed when attributes change.
- Postgres: jsonb column gives same flexibility while keeping relational tables for canonical fields.
Querying, indexing &amp; query power
- MongoDB: Good for document-centric queries and rich aggregation pipeline; supports indexes on subfields but high-cardinality dynamic keys can be problematic.
- Postgres: Full SQL, powerful JOINs, window functions, and mature planner. jsonb supports GIN/BTREE indexes, expression indexes, and fast predicate pushdown—better for complex analytics and ad-hoc queries.
Consistency &amp; transactions
- MongoDB: Strong single-document atomicity; multi-document transactions are supported but heavier.
- Postgres: ACID by default, cheaper multi-row/multi-table transactions and integrity constraints.
Performance &amp; scaling
- MongoDB: Easy horizontal scaling (sharding) for high write throughput; denormalization is common.
- Postgres: Vertical scale is strong; horizontal scaling (sharding/FDW) is more complex but mature read-scale (replicas).
Operational &amp; ecosystem
- Postgres: Better tooling for BI, backups, migrations, and data integrity.
- MongoDB: Faster iteration, simpler for highly variable schemas and large document workloads.
Recommendation
- If you need joins, analytics, strict integrity, or complex queries → PostgreSQL + jsonb + GIN indexes.
- If schema varies massively per product, write throughput and simple document reads matter, or you expect easy horizontal scaling → MongoDB.
Snippet (conceptual)
- Mongo: { _id, sku, name, attrs: { color:"red", battery:"2000mAh" } }
- Postgres: CREATE TABLE products (id serial PRIMARY KEY, sku text, name text, attrs jsonb); CREATE INDEX ON products USING gin (attrs);</t>
  </si>
  <si>
    <t>## PostgreSQL vs MongoDB for a Dynamic Product Catalog
### MongoDB (Document Store)
**Strengths:**
- Schema-flexible by nature — each product document can have different attributes without migrations
- Adding/removing fields is a no-op at the database level
- Nested attributes (e.g., `specs.weight`, `specs.color`) map naturally to embedded documents
- Good fit when attribute shapes vary widely across product categories
**Weaknesses:**
- No enforced schema means your application must handle validation and consistency
- Complex cross-product queries (joins across categories) can be awkward
- Transactions across multiple collections are supported but heavier than in PostgreSQL
### PostgreSQL (with JSONB)
**Strengths:**
- `JSONB` columns give you the same schema flexibility for variable attributes while keeping structured columns for shared fields (`id`, `name`, `price`, `created_at`)
- You get the best of both worlds: relational integrity **and** flexible attributes
- GIN indexes on JSONB make attribute queries performant
- Full ACID transactions, mature ecosystem, and powerful querying (joins, CTEs, window functions)
**Weaknesses:**
- JSONB querying syntax is more verbose than MongoDB's native dot-notation
- Extremely deep/nested documents with heavy write churn can be slightly less ergonomic than a native document store
### Recommendation
For most teams, **PostgreSQL with JSONB** is the stronger default. You get schema flexibility where you need it (variable product attributes) and relational guarantees where you need those (orders, inventory, pricing). You avoid running two database paradigms.
Choose MongoDB if your catalog is **overwhelmingly document-shaped**, you have minimal relational needs, and your team already has MongoDB operational expertise.</t>
  </si>
  <si>
    <t>Explain the difference between a Docker image and a Docker container.</t>
  </si>
  <si>
    <t>Summary
- Docker image = static, versioned template (immutable filesystem + metadata).  
- Docker container = a running (or stopped) instance created from an image; it’s the live process + writable layer and runtime state.
Key differences
- Purpose:
  - Image: build-time artifact (what to run).  
  - Container: runtime artifact (an execution of that image).
- Mutability:
  - Image: read-only layers, rebuilt to change.  
  - Container: has a thin writable layer on top; changes live in the container (ephemeral).
- Lifecycle:
  - Image: created by docker build, stored in registries, reusable.  
  - Container: created with docker run, can be started/stopped/removed.
- Storage &amp; state:
  - Image: layered filesystem, optimized for caching and sharing.  
  - Container: state is ephemeral unless you use volumes or bind mounts.
- Isolation:
  - Container: provides namespaces, cgroups, networking for runtime isolation; images don’t run.
- Multiplicity:
  - Many containers can be instantiated from the same image concurrently.
Example
- Build and run:
  - docker build -t myapp:1.0 .  
  - docker run --name myapp -d myapp:1.0
Trade-offs / best practices
- Keep images small (faster pulls, smaller attack surface).  
- Treat containers as disposable; persist important state in volumes or external services.  
- Use image tags for reproducibility and containers for scaling/operations.</t>
  </si>
  <si>
    <t>## Docker Image vs. Docker Container
**Image** — A read-only template containing the application code, runtime, libraries, and filesystem layers needed to run software. It's built from a `Dockerfile` and is immutable once created. Think of it as a **class** in OOP.
**Container** — A running (or stopped) instance of an image. It adds a writable layer on top of the image's read-only layers and has its own isolated process space, network, and mounts. Think of it as an **object** (instance of the class).
### Key Differences
| Aspect | Image | Container |
|---|---|---|
| **State** | Immutable, static | Mutable, has runtime state |
| **Storage** | Layered, read-only filesystem | Read-only image layers + writable layer |
| **Lifecycle** | Built once, stored in a registry | Created, started, stopped, deleted |
| **Analogy** | Blueprint / class | Running process / instance |
### How They Relate
```
Dockerfile  →  (docker build)  →  Image  →  (docker run)  →  Container
```
- One image can spawn many containers.
- Containers share the image's layers (saving disk space) but each gets its own writable layer.
- Changes inside a container are lost when it's removed, unless you use **volumes** or commit the container back to a new image.
**Trade-off to note:** Committing a container to a new image is possible but discouraged in practice — prefer rebuilding from a `Dockerfile` for reproducibility.</t>
  </si>
  <si>
    <t>What is the difference between a Kubernetes Deployment, StatefulSet and DaemonSet?</t>
  </si>
  <si>
    <t>Summary — when to use each
- Deployment: stateless, interchangeable replicas. Use for web frontends, API servers, workers that don’t need a stable identity or storage.
- StatefulSet: stateful, stable identity &amp; storage. Use for databases, message brokers, or any service that needs stable network hostnames, ordered startup/termination, and per-pod persistent volumes.
- DaemonSet: one pod per (selected) node. Use for node-local agents: log collectors, monitoring agents, network plugins, kube-proxy-like system daemons.
Key differences (quick bullets)
- Identity
  - Deployment: pods are ephemeral and indistinguishable (ReplicaSet).
  - StatefulSet: each pod gets a stable name (mypod-0, mypod-1) and stable DNS.
  - DaemonSet: pods are tied to nodes (one-per-node).
- Storage
  - Deployment: ephemeral or shared PVs (no per-pod automatic PVC creation).
  - StatefulSet: supports volumeClaimTemplates → each pod gets its own PVC bound to a PV.
- Ordering and scaling
  - Deployment: parallel rolling updates and scaling (fast).
  - StatefulSet: OrderedReady (by default) startup/termination and predictable ordinal scaling; updates can be ordered.
  - DaemonSet: ensures pods on existing/new nodes; updates are per-node rolling.
- Use-case constraints
  - Deployments: best for horizontal scaling, load-balanced services.
  - StatefulSets: require headless Service for stable DNS; not ideal for very fast scale-up/down.
  - DaemonSets: good for host-level access (hostPath, hostNetwork), node affinity, and resource-isolation per node.
Short example (StatefulSet PVC)
apiVersion: apps/v1
kind: StatefulSet
spec:
  volumeClaimTemplates:
  - metadata: { name: data }
    spec: { accessModes: ["ReadWriteOnce"], resources: { requests: { storage: "10Gi" } } }
Trade-offs
- StatefulSet gives correctness for stateful apps but is slower and more operationally complex.
- DaemonSet is simple for node-local agents but doesn’t provide scaling semantics like ReplicaSets.</t>
  </si>
  <si>
    <t>## Kubernetes Workload Controllers
All three manage Pods, but they serve different purposes:
### Deployment
- For **stateless** applications (web servers, APIs).
- Pods are interchangeable — any replica can handle any request.
- Supports rolling updates, rollbacks, and scaling.
- Pods get random names (e.g., `nginx-7d9b4f5b6-xk2q9`) and no stable storage by default.
### StatefulSet
- For **stateful** applications (databases, message brokers).
- Pods get **stable, ordered identities** (`mysql-0`, `mysql-1`, …) and are created/deleted sequentially.
- Each Pod can have its own **persistent volume** that follows it across rescheduling.
- Requires a **headless Service** for stable DNS names per Pod (`mysql-0.mysql-svc`).
### DaemonSet
- Runs **exactly one Pod per node** (or a subset of nodes via selectors).
- Used for node-level infrastructure: log collectors, monitoring agents, CNI plugins.
- Pods are automatically added/removed as nodes join/leave the cluster.
- No replica count — the cluster topology determines the number of Pods.
## When to pick which
| Use case | Controller |
|---|---|
| Stateless API, microservice | Deployment |
| Database, ZooKeeper, Kafka | StatefulSet |
| Fluentd, Prometheus node-exporter | DaemonSet |
**Key trade-off:** StatefulSets give you ordering and stable identity at the cost of slower rollouts and more complex operational management. Use a Deployment unless you genuinely need per-Pod identity or storage.</t>
  </si>
  <si>
    <t>Describe a blue-green deployment and how it differs from a canary release.</t>
  </si>
  <si>
    <t>Blue–Green deployment
- Two identical production environments: Blue (current live) and Green (idle).
- Deploy the new version to Green, run smoke/integration tests, then flip routing (DNS/load‑balancer) so Green receives 100% traffic.
- Rollback = flip back to Blue (instant).
How it differs from a Canary release
- Traffic pattern: Blue–Green is an all-or-nothing switch (100% cutover). Canary rolls out gradually (e.g., 1% → 10% → 100%).
- Risk control: Canary limits blast radius and allows A/B metrics/telemetry checks; blue–green relies on pre-cutover validation.
- Complexity/cost: Blue–green needs duplicate infra (higher cost) but simple routing; canary needs fine‑grained traffic control and monitoring.
Trade‑offs
- Blue–green: fast rollback, simpler routing, higher infra cost, harder live DB migrations.
- Canary: lower risk per step, better validation in production, more complex orchestration and observability.</t>
  </si>
  <si>
    <t>## Blue-Green Deployment
A **blue-green deployment** maintains two identical production environments — "blue" (current live) and "green" (new version). You deploy the new release to the idle environment, run smoke tests, then switch all traffic at once (typically via load balancer or DNS). If something breaks, you switch back instantly.
**Key traits:**
- **All-or-nothing traffic switch** — users either hit the old version or the new one
- **Instant rollback** — just route traffic back to the previous environment
- **Cost** — you need double the infrastructure (though it can be ephemeral)
## Canary Release
A **canary release** gradually rolls the new version out to a **small subset of users** (e.g., 1% → 5% → 25% → 100%), monitoring metrics at each step before expanding.
**Key traits:**
- **Incremental traffic shift** — blast radius of a bug is limited to the canary population
- **Metric-driven promotion** — you watch error rates, latency, etc. before widening
- **Slower rollout** — takes longer but gives higher confidence
## Key Differences
| Aspect | Blue-Green | Canary |
|---|---|---|
| Traffic shift | 100% at once | Gradual (e.g., 1% → 100%) |
| Risk exposure | Full user base immediately | Small subset first |
| Rollback speed | Instant (swap back) | Fast (route away from canary) |
| Infrastructure cost | 2× environments | Partial extra capacity |
| Observability need | Moderate | High (need per-cohort metrics) |
**In practice**, teams often combine both — using blue-green for the environment swap and canary logic within the green environment to control traffic ramp-up.</t>
  </si>
  <si>
    <t>What stages should a good CI/CD pipeline for a Python web app include?</t>
  </si>
  <si>
    <t>Below is a practical, production-minded set of stages for a CI/CD pipeline for a Python web app, with short notes and trade-offs.
Recommended stages (logical order)
- Source
  - Trigger: push/PR, schedule, or manual.
  - Identify commit meta, branch, PR, change set.
- Install &amp; dependency resolution
  - Create virtualenv, install pinned deps (use lockfile: poetry.lock/requirements.txt).
- Fast checks (PR gate)
  - Linting (flake8/ruff) + formatting (black) — fast feedback.
  - Type checks (mypy) if used.
- Unit tests (parallel)
  - Run fast unit tests with coverage thresholds.
  - Use test matrix (Python versions, DB adapters) where needed.
- Static &amp; security scanning
  - SAST (bandit/semgrep), dependency scanning (safety/OWASP), secret detection.
  - Fail or warn depending on severity policy.
- Build artifact
  - Build deterministic artifact(s): wheel/container image, signed and tagged with immutable version.
- Integration &amp; contract tests
  - Run DB, cache, auth, external API integration tests (use test containers/mocks).
  - Consumer-provider contract tests if applicable.
- Acceptance / E2E tests (staging)
  - Full-stack flows in environment parity staging (headless browser, API tests).
- Performance &amp; load tests (scheduled)
  - Run on demand or nightly to limit CI cost.
- Deployment (CD)
  - Deploy to staging (automated) → run smoke tests &amp; canary/blue‑green rollout to prod.
  - Include manual approval for prod if required.
- Post-deploy verification &amp; observability
  - Health checks, synthetic transactions, metrics, logs, error budget checks.
- Rollback &amp; remediation
  - Automatic rollback on critical failures; playbooks and alerts for on-call.
- Notifications &amp; traceability
  - Annotate PR/commit with pipeline status, publish artifacts, changelog, release notes.
Short pipeline stage list example (names)
- checkout → deps → lint → unit → security → build → integration → e2e → deploy-staging → smoke → deploy-prod
Trade-offs &amp; guidance
- Prioritize fast gates on PRs (lint+unit); run expensive scans in merge/CI pipeline to keep developer latency low.
- Keep artifacts immutable and deploy the same artifact through environments.
- Automate rollbacks and observability checks to reduce blast radius.</t>
  </si>
  <si>
    <t>## CI/CD Pipeline Stages for a Python Web App
### CI (Continuous Integration)
1. **Lint &amp; Format** — Run `ruff` (or `flake8`/`black`) to catch style issues and enforce consistency early. Fast and cheap to fail on.
2. **Static Analysis / Type Checking** — `mypy` or `pyright` catches type errors before runtime. Especially valuable as the codebase grows.
3. **Unit Tests** — `pytest` with coverage reporting. Keep these fast (&lt;2 min) by mocking external dependencies.
4. **Integration Tests** — Hit real databases, caches, and message queues using containers (e.g., Docker Compose or testcontainers). Catches issues mocks hide.
5. **Security Scanning** — Dependency audit (`pip-audit`, Dependabot/Snyk) plus SAST (`bandit`) to flag known vulnerabilities and insecure patterns.
6. **Build Artifact** — Build a Docker image or wheel. Tag with the commit SHA for traceability.
### CD (Continuous Delivery/Deployment)
7. **Publish Artifact** — Push the image to a container registry (ECR, GAR, etc.).
8. **Deploy to Staging** — Automated deploy to a staging environment that mirrors production.
9. **Smoke / E2E Tests** — Run a small suite against staging to verify critical paths (health checks, key API flows).
10. **Deploy to Production** — Use a progressive strategy (canary, blue-green, or rolling) to limit blast radius. Include a manual approval gate if your risk tolerance requires it.
11. **Post-Deploy Verification** — Automated health checks and metric monitoring with automatic rollback on anomalies.
### Trade-offs
- **Speed vs. thoroughness**: Parallelise lint, type-check, and unit tests. Run heavier integration/security stages concurrently where possible.
- **Manual gates** add safety but slow delivery — use them selectively (e.g., prod only).</t>
  </si>
  <si>
    <t>Explain Infrastructure as Code and compare Terraform with Ansible.</t>
  </si>
  <si>
    <t>What is Infrastructure as Code (IaC)
- IaC is the practice of defining and managing infrastructure (servers, networks, services) using machine-readable configuration files.
- Benefits: repeatability, versioning, reviewable changes, automation, drift detection.
Terraform vs Ansible — concise comparison
- Purpose
  - Terraform: declarative provisioning of cloud and infra resources (stateful).
  - Ansible: imperative/config-driven orchestration, configuration management, and ad-hoc tasks (agentless).
- Language &amp; Model
  - Terraform: HCL, plan/apply lifecycle, maintains state.
  - Ansible: YAML playbooks, procedural tasks executed over SSH.
- Strengths
  - Terraform: multi-provider, idempotent resource graph, better for infra lifecycle.
  - Ansible: detailed OS/configuration changes, software installs, runtime orchestration.
- Trade-offs
  - Use Terraform for provisioning cloud resources; use Ansible for configuring instances and apps. They pair well: Terraform creates resources, Ansible configures them.
- Tiny snippet (Terraform vs Ansible intent)
  - Terraform: resource "aws_instance" "web" { ... }
  - Ansible: - hosts: webtasks: - apt: name=nginx state=present</t>
  </si>
  <si>
    <t>## Infrastructure as Code (IaC)
IaC is the practice of managing and provisioning infrastructure through machine-readable configuration files rather than manual processes. You define your servers, networks, databases, and other resources in code, which is version-controlled, reviewed, tested, and applied reproducibly — just like application code.
**Key benefits:** repeatability, drift detection, auditability via git history, and the ability to spin up identical environments on demand.
---
## Terraform vs Ansible
| Aspect | Terraform | Ansible |
|---|---|---|
| **Primary purpose** | Infrastructure provisioning (cloud resources) | Configuration management &amp; app deployment |
| **Approach** | Declarative — you describe the desired end state | Primarily imperative (playbooks are ordered tasks), though modules can be declarative |
| **State** | Maintains a state file tracking what it manages | Stateless — re-evaluates on each run |
| **Language** | HCL (HashiCorp Configuration Language) | YAML playbooks + Jinja2 templates |
| **Idempotency** | Built-in via state diffing | Module-dependent; most core modules are idempotent |
| **Agent** | Agentless (talks to cloud APIs) | Agentless (SSH/WinRM) |
### When to use which
- **Terraform** excels at provisioning cloud infrastructure (VPCs, VMs, managed databases, IAM). Its plan/apply cycle and state tracking make it safe for infrastructure lifecycle management.
- **Ansible** excels at configuring what's *inside* those resources — installing packages, managing services, deploying application code.
### Trade-off to note
Many teams use **both together**: Terraform provisions the infrastructure, then Ansible configures it. They're complementary more than competing. If forced to pick one, Terraform is stronger for cloud-native infrastructure, while Ansible is more versatile for mixed provisioning + configuration tasks.</t>
  </si>
  <si>
    <t>Explain SQL injection and how parameterized queries prevent it.</t>
  </si>
  <si>
    <t>What is SQL injection?
- A class of vulnerability where an attacker supplies input that the application embeds into an SQL statement so the input is interpreted as SQL code.
- Common consequences: data exfiltration, data corruption/deletion, privilege escalation, complete system compromise.
How attacks work (brief)
- Vulnerable pattern: building SQL by concatenating user input into a query string.
- Example dangerous flow: user input --&gt; concatenation --&gt; DB parses/executes unintended SQL.
Why parameterized queries prevent it
- Parameterized queries (prepared statements + bound parameters) separate SQL code from data:
  - The SQL engine gets a fixed statement template with placeholders.
  - User values are sent separately and treated strictly as data (no parsing as SQL).
- This prevents injected tokens (e.g., "'; DROP TABLE users; --") from changing the statement structure.
Safe example (Python/psycopg2)
- Use placeholders and pass parameters separately:
  cursor.execute("SELECT * FROM users WHERE email = %s AND active = %s", (email, True))
Practical notes &amp; trade-offs
- Always parameterize every user-controlled value. Identifiers (table/column names) can’t be parameterized—use strict whitelists.
- Input validation, least-privilege DB accounts, and logging add defense-in-depth.
- ORMs often handle parameterization; avoid raw concatenation and manual escaping (error-prone).
- Prepared statements can improve performance for repeated queries.</t>
  </si>
  <si>
    <t>## SQL Injection
SQL injection occurs when untrusted input is concatenated directly into a SQL statement, allowing an attacker to alter the query's logic.
**Example of vulnerable code:**
```python
query = "SELECT * FROM users WHERE name = '" + user_input + "'"
```
If `user_input` is `' OR '1'='1`, the query becomes:
```sql
SELECT * FROM users WHERE name = '' OR '1'='1'
```
This returns **every row** in the table. Worse inputs can `DROP TABLE`, extract data via `UNION SELECT`, or bypass authentication entirely.
## How Parameterized Queries Prevent It
Parameterized (prepared) queries separate **code** from **data**:
```python
cursor.execute("SELECT * FROM users WHERE name = %s", (user_input,))
```
The database engine:
1. **Parses and compiles** the query template with a placeholder.
2. **Binds** the user-supplied value to that placeholder as a *literal data value*, not as SQL syntax.
Because the value is never interpreted as SQL, injected metacharacters like `'`, `--`, or `;` are treated as ordinary string content. The query structure is fixed before any untrusted data touches it.
## Key Takeaways
- **Never** build SQL by string concatenation or interpolation with user input.
- **Always** use your language's parameterized query API (`?`, `$1`, `%s`, `@param` — syntax varies by driver).
- ORMs (SQLAlchemy, Hibernate, etc.) parameterize under the hood, but watch out for raw-query escape hatches.
- Parameterized queries also improve **performance** (the DB can cache the execution plan) — so there's no trade-off; it's strictly better.</t>
  </si>
  <si>
    <t>What is the difference between authentication and authorization? Give examples.</t>
  </si>
  <si>
    <t>Definitions
- Authentication: proving “who you are” (identity verification). Examples: username+password, MFA, OAuth login, client TLS certificates.
- Authorization: deciding “what you’re allowed to do” (access control). Examples: RBAC, ACLs, OAuth scopes, resource policies.
Key points
- Order: authenticate first, then authorize.
- Auth yields an identity token/subject (session cookie, JWT); authorization uses that identity (and attributes/claims) to make access decisions.
- Example: after signing in with SSO (authentication), only users in role "finance" can view payroll (authorization).
Concrete examples
- Web app: Auth = user logs in with password + TOTP. AuthZ = server checks user.role == "admin" before returning /admin panel.
- API: Auth = client presents API key or JWT. AuthZ = token scopes must include "orders:write" to POST /orders.
- Cloud: Auth = IAM principal via STS. AuthZ = S3 bucket policy denies writes except for a specific role.
Trade-offs &amp; pitfalls
- Trade-offs: stronger auth (MFA) increases friction; fine-grained auth increases complexity and latency.
- Pitfalls: trusting client-sent claims without verification, embedding long-lived permissions in tokens (use short TTLs or introspection).
Tiny pseudocode
- if authenticated(user) &amp;&amp; hasPermission(user, "delete:item"): deleteItem() else: deny().</t>
  </si>
  <si>
    <t>## Authentication vs. Authorization
**Authentication** (AuthN) answers: *"Who are you?"*
**Authorization** (AuthZ) answers: *"What are you allowed to do?"*
Authentication always comes first — you must establish identity before you can check permissions.
### Authentication Examples
- Logging in with a username and password
- Scanning a fingerprint or face (biometric)
- Presenting a JWT or session cookie to prove a prior login
- OAuth 2.0 redirecting you to Google to verify your identity
### Authorization Examples
- A regular user can view posts but only an admin can delete them
- An IAM policy in AWS granting `s3:GetObject` but not `s3:DeleteObject`
- A file system granting read access to `group:staff` but write access only to `owner`
- An API returning `403 Forbidden` because your role lacks the required scope
### Key Differences
| | Authentication | Authorization |
|---|---|---|
| **Question** | Who are you? | What can you do? |
| **Failure code** | `401 Unauthorized`* | `403 Forbidden` |
| **Mechanism** | Credentials, tokens, certificates | Roles, policies, ACLs |
| **Happens** | First | After authentication |
*\*The HTTP 401 status is historically misnamed — it actually means "unauthenticated."*
### Trade-off to note
Combining both into a single layer (e.g., a monolithic middleware) is simple early on but becomes hard to maintain. Separating them — authenticate once at the edge, authorize per resource — scales better and makes policy changes less risky.</t>
  </si>
  <si>
    <t>Explain how JWT works and list its common security pitfalls.</t>
  </si>
  <si>
    <t>How JWT works
- Structure: three base64url parts: header.payload.signature (e.g., {"alg":"HS256"},{"sub":"123"},&lt;sig&gt;).
- Signing: issuer signs header+payload with a secret (HMAC) or private key (RSA/EC); receiver verifies signature to trust integrity and authenticity.
- Typical flow: client receives token after auth, sends it on requests (Authorization: Bearer &lt;token&gt;); server verifies and trusts claims (iss, aud, exp, sub).
Common security pitfalls (and mitigations)
- "alg" confusion (accepting "none" or switching alg): always enforce allowed algs and verify signature.
- Weak/ leaked signing keys: use strong keys and rotate them.
- Long-lived tokens: use short exp, refresh tokens, and rotation.
- No revocation: keep token revocation/allowlist or use opaque refresh tokens + server-side sessions.
- Missing claim validation: check iss, aud, exp, nbf, jti.
- Storing in localStorage (XSS risk): prefer secure, HttpOnly SameSite cookies or strong XSS hardening.
- CSRF on cookie use: use SameSite=strict/lax and anti-CSRF where needed.
- Excessive sensitive data in payload: avoid secrets/PPI in claims.
- Replay attacks: bind tokens (e.g., TLS, client fingerprint) or use one-time jti tracking.
- Using JWTs as a database replacement: treat them as bearer tokens, not authoritative state without server checks.
Trade-offs: HS256 is simpler; RS/ES enables public verification and safer key handling for distributed systems.</t>
  </si>
  <si>
    <t>## How JWT Works
A JSON Web Token is a compact, URL-safe token format used to transmit claims between two parties. It has three Base64URL-encoded parts separated by dots:
**`header.payload.signature`**
1. **Header** — declares the token type (`JWT`) and signing algorithm (e.g., `HS256`, `RS256`).
2. **Payload** — contains claims: registered (`iss`, `exp`, `sub`), public, or private (custom app data).
3. **Signature** — created by signing `base64(header) + "." + base64(payload)` with a secret (HMAC) or private key (RSA/ECDSA). The receiver verifies this to ensure integrity and authenticity.
The server issues a signed JWT after authentication. The client sends it on subsequent requests (typically via `Authorization: Bearer &lt;token&gt;`). The server verifies the signature and reads claims — no server-side session state required.
## Common Security Pitfalls
- **`alg: "none"` attack** — Some libraries accept unsigned tokens if the header sets the algorithm to `none`. Always enforce an allowlist of algorithms server-side.
- **HMAC/RSA confusion** — An attacker changes `RS256` to `HS256` and signs with the public key (which the server uses to verify). The server treats the public key as an HMAC secret. Fix: validate the algorithm strictly.
- **Weak or leaked secrets** — Short HMAC secrets are brute-forceable. Rotate keys and use ≥256-bit secrets.
- **Missing expiration (`exp`)** — Tokens without expiry live forever if stolen. Always set and validate `exp`.
- **No revocation mechanism** — JWTs are stateless, so you can't invalidate them mid-lifetime. Mitigate with short TTLs and a token blocklist or refresh-token rotation.
- **Sensitive data in payload** — The payload is encoded, **not encrypted**. Don't store secrets in it unless you use JWE.
- **Token stored in `localStorage`** — Vulnerable to XSS. Prefer `HttpOnly` cookies with `SameSite` and `Secure` flags.
**Trade-off summary:** JWTs eliminate server-side session storage but shift the burden to careful cryptographic configuration and token lifecycle management.</t>
  </si>
  <si>
    <t>What is Cross-Site Scripting (XSS) and how do you prevent it in a web app?</t>
  </si>
  <si>
    <t>What is XSS?
- Cross‑Site Scripting (XSS) is an injection vulnerability where attacker-controlled data is interpreted as executable script in a victim’s browser, letting attackers steal cookies, perform actions, or deface pages. Types: reflected, stored, and DOM‑based.
How to prevent it (defence‑in‑depth)
- Output‑encode/escape for the specific context (HTML, attribute, JS, URL, CSS).
- Prefer framework/template auto‑escaping (React, Angular, Razor) over manual output.
- Never insert raw user input into HTML; use safe DOM APIs (textContent) or vetted sanitizers (DOMPurify) when HTML is required.
- Use a strict Content‑Security‑Policy (CSP) to block inline scripts and reduce impact.
- Validate input server‑side (allowlist) but don’t rely on it for XSS protection.
- Secure cookies (HttpOnly, Secure, SameSite) and avoid eval()/new Function().
Trade‑offs
- CSP is powerful but can be hard to deploy with legacy inline scripts.
- Aggressive sanitization may remove legitimate markup/behavior.
Quick example
// safe
el.textContent = userInput;
// unsafe
el.innerHTML = userInput
Implement context‑aware escaping + CSP + sanitizer for robust protection.</t>
  </si>
  <si>
    <t>## Cross-Site Scripting (XSS)
XSS is a vulnerability where an attacker injects malicious scripts into web pages viewed by other users. The browser executes the script because it trusts content from the server, giving the attacker access to cookies, session tokens, or DOM manipulation.
### Three main types
- **Stored (persistent):** Malicious input is saved server-side (e.g., a comment) and served to every visitor.
- **Reflected:** The payload is embedded in a URL/request and reflected back in the response (e.g., a search query echoed on the page).
- **DOM-based:** Client-side JavaScript itself writes untrusted data into the DOM without sanitization.
### Prevention
1. **Output encoding/escaping** — HTML-encode user data before rendering. Use context-aware encoding (HTML, JS, URL, CSS contexts each need different escaping).
2. **Content Security Policy (CSP)** — Set a strict CSP header to block inline scripts and restrict allowed sources (`script-src 'self'`).
3. **Use framework defaults** — Modern frameworks (React, Angular, Vue) auto-escape output by default. Avoid escape hatches like `dangerouslySetInnerHTML` or `v-html` unless absolutely necessary, and sanitize first.
4. **Input validation** — Whitelist expected formats server-side. This is defense-in-depth, not a primary control.
5. **HttpOnly / Secure cookies** — Prevents JavaScript from reading session cookies, limiting the impact of XSS.
6. **Sanitization libraries** — When you must allow rich HTML (e.g., markdown), use a proven sanitizer like DOMPurify rather than writing your own regex.
### Key trade-off
Aggressive escaping is safe but can break legitimate rich-content features. A sanitization library gives more flexibility at the cost of an additional dependency and attack surface to keep updated.</t>
  </si>
  <si>
    <t>How should passwords be stored in a database? Compare bcrypt, scrypt and Argon2.</t>
  </si>
  <si>
    <t>Recommended approach
- Never store plaintext. Use a memory‑hard password KDF with a unique per‑user salt and stored parameters. Tune costs so hashing ≈100–300ms on your hardware. Store hash+params; rehash on successful login when params change.
Comparison (short)
- Argon2 (recommended): PHC winner. Argon2id = best default (time, memory, parallelism). Strong GPU resistance.
- scrypt: Good memory‑hard KDF; parameter-rich (N,r,p). Mature but older.
- bcrypt: Battle‑tested, CPU‑bound, faster than scrypt/Argon2, truncates to 72 bytes — less ideal vs modern GPU attacks.
Operational tips
- Use vetted libs, TLS, rate‑limit/IP lockouts, MFA. Consider a server-side pepper (env var) for extra defense. Migrate by rehash-on-login.
Example (Node + argon2)
const argon2 = require('argon2');
const hash = await argon2.hash(pwd, {type: argon2.argon2id});
const ok = await argon2.verify(hash, pwd);</t>
  </si>
  <si>
    <t>## Password Storage: bcrypt vs scrypt vs Argon2
**Never store plaintext or simple hashes (MD5/SHA).** Use a slow, salted password-hashing function designed to resist brute-force attacks.
### Quick Comparison
| | **bcrypt** | **scrypt** | **Argon2** |
|---|---|---|---|
| **Tunable** | CPU cost | CPU + memory cost | CPU, memory, and parallelism |
| **GPU resistance** | Moderate | High (memory-hard) | Highest |
| **ASIC resistance** | Low | High | Highest |
| **Maturity** | ~1999, battle-tested | ~2009, well-studied | 2015, PHC winner |
| **Max input** | 72 bytes | No limit | No limit |
### Recommendations
- **Argon2id** (hybrid mode) is the current best choice. It won the Password Hashing Competition and defends against both GPU and side-channel attacks. OWASP recommends it as the primary option.
- **scrypt** is a strong alternative when Argon2 isn't available. Its memory-hardness makes large-scale GPU/ASIC attacks expensive.
- **bcrypt** remains acceptable and is the safest "legacy" pick — widely supported and well-understood — but its 72-byte input limit and weaker GPU resistance make it the least future-proof of the three.
### Key Practices
- Always use a **unique random salt** per password (all three handle this automatically).
- Tune the **work factor** so hashing takes ~100–300 ms on your hardware.
- Re-hash on login when you increase the work factor.
- Pre-hash with SHA-256 if using bcrypt, to bypass the 72-byte limit.
**TL;DR:** Default to **Argon2id**. Use bcrypt if your framework doesn't support Argon2 yet.</t>
  </si>
  <si>
    <t>Explain Big-O notation with examples of O(1), O(log n), O(n) and O(n^2).</t>
  </si>
  <si>
    <t>Big-O quick summary
Measures how runtime/space grows with input size n; constants and lower-order terms are ignored.
- O(1) — constant: index access, e.g. `a[i]`
- O(log n) — logarithmic: binary search (halves the range each step)
- O(n) — linear: single pass/scan, e.g. `for x in a: if x==t: return`
- O(n^2) — quadratic: nested loops, e.g. pairwise comparisons `for i in range(n): for j in range(n): ...`
Trade-offs
- Constants and memory matter in practice; lower Big-O is better for large n, but simpler/higher‑order algorithms can win for small inputs.</t>
  </si>
  <si>
    <t>## Big-O Notation
Big-O describes the **upper bound** of how an algorithm's time (or space) grows relative to input size *n*. It ignores constants and lower-order terms, focusing on the dominant growth rate.
### Common Complexities
**O(1) — Constant**
Runtime doesn't change with input size.
```python
def get_first(items):
    return items[0]          # always one operation
```
**O(log n) — Logarithmic**
Each step cuts the problem in half. Doubling *n* adds only one extra step.
```python
def binary_search(arr, target):
    lo, hi = 0, len(arr) - 1
    while lo &lt;= hi:
        mid = (lo + hi) // 2
        if arr[mid] == target: return mid
        elif arr[mid] &lt; target: lo = mid + 1
        else: hi = mid - 1
```
**O(n) — Linear**
Work scales directly with input size.
```python
def find_max(items):
    m = items[0]
    for x in items:           # visits every element once
        if x &gt; m: m = x
    return m
```
**O(n²) — Quadratic**
Typically nested loops over the input. Doubling *n* quadruples the work.
```python
def bubble_sort(arr):
    for i in range(len(arr)):
        for j in range(len(arr) - 1):
            if arr[j] &gt; arr[j+1]:
                arr[j], arr[j+1] = arr[j+1], arr[j]
```
### Key Takeaway
| n | O(1) | O(log n) | O(n) | O(n²) |
|---|------|----------|------|-------|
| 1,000 | 1 | ~10 | 1,000 | 1,000,000 |
For small inputs the differences are negligible; at scale, choosing the right complexity class is critical. Always measure real performance too — Big-O hides constant factors that sometimes matter in practice.</t>
  </si>
  <si>
    <t>Explain how binary search works and show it in Python.</t>
  </si>
  <si>
    <t>How it works
- Input must be sorted.
- Compare target with middle element.
- If equal: found; if smaller: search left half; if larger: search right half.
- Repeat until range is empty.
- Time: O(log n), Space: O(1) iterative / O(log n) recursive.
Python example
def binary_search(arr, target):
    lo, hi = 0, len(arr) - 1
    while lo &lt;= hi:
        mid = (lo + hi) // 2
        if arr[mid] == target:
            return mid
        if arr[mid] &lt; target:
            lo = mid + 1
        else:
            hi = mid - 1
    return -1
Returns index of target or -1 if not found.</t>
  </si>
  <si>
    <t>## Binary Search
Binary search finds a target value in a **sorted** array by repeatedly halving the search space.
### How it works
1. Compare the target to the **middle** element.
2. If they match, you're done.
3. If the target is **smaller**, search the left half.
4. If the target is **larger**, search the right half.
5. Repeat until found or the search space is empty.
### Complexity
| Case | Time | Space |
|------|------|-------|
| Best | O(1) | O(1) |
| Average/Worst | O(log n) | O(1) |
Each step eliminates half the remaining elements, giving logarithmic performance — searching 1 billion items takes at most ~30 comparisons.
### Python implementation
```python
def binary_search(arr, target):
    lo, hi = 0, len(arr) - 1
    while lo &lt;= hi:
        mid = lo + (hi - lo) // 2   # avoids overflow in other languages
        if arr[mid] == target:
            return mid
        elif arr[mid] &lt; target:
            lo = mid + 1
        else:
            hi = mid - 1
    return -1  # not found
```
### Key trade-offs
- **Requires sorted input.** If data arrives unsorted, the O(n log n) sort cost may negate the benefit for a single lookup — but pays off when you query many times.
- **Random access needed.** Works on arrays/lists, not linked lists.
- Python's standard library offers `bisect.bisect_left` for production use, which handles edge cases and insertion points.</t>
  </si>
  <si>
    <t>What is dynamic programming? Explain it using the Fibonacci sequence.</t>
  </si>
  <si>
    <t>Dynamic Programming (DP)
- Technique to solve problems with overlapping subproblems + optimal substructure.
- Store (cache) results of subproblems to avoid recomputation (memoization) or build results bottom-up (tabulation).
Fibonacci example
- Naive recursion: exponential time because F(n) recomputes the same values.
- Memoization (top‑down): cache F(k) when computed.
- Tabulation (bottom‑up): compute F(0..n) iteratively.
Code (Python, memoization):
```python
def fib(n, memo={}):
    if n&lt;2: return n
    if n in memo: return memo[n]
    memo[n] = fib(n-1,memo)+fib(n-2,memo)
    return memo[n]
```
Complexities
- Time: O(n). Space: O(n) for memo/table (O(1) possible with iterative two-variable version).
Trade-offs
- Memoization easier to write; tabulation often simpler to reason about and may use less overhead.</t>
  </si>
  <si>
    <t>## Dynamic Programming (DP)
Dynamic programming is a technique for solving problems that have **overlapping subproblems** and **optimal substructure**. Instead of recomputing the same result multiple times, you store it and reuse it.
### The Problem with Naive Fibonacci
A recursive Fibonacci implementation recalculates the same values exponentially:
```
fib(5) → fib(4) + fib(3)
           ↓         ↓
      fib(3)+fib(2)  fib(2)+fib(1)   ← fib(3) and fib(2) computed multiple times
```
This gives **O(2^n)** time complexity — unusable for large `n`.
### Two DP Approaches
**Top-down (memoization)** — recurse, but cache results:
```python
def fib(n, memo={}):
    if n &lt;= 1: return n
    if n not in memo:
        memo[n] = fib(n-1, memo) + fib(n-2, memo)
    return memo[n]
```
**Bottom-up (tabulation)** — build the answer iteratively from the base cases:
```python
def fib(n):
    if n &lt;= 1: return n
    a, b = 0, 1
    for _ in range(2, n+1):
        a, b = b, a + b
    return b
```
Both run in **O(n)** time. The bottom-up version also uses **O(1)** space since only the last two values are needed.
### When to Use DP
- The problem breaks into **repeated, identical subproblems**.
- A brute-force solution revisits the same states.
- Common domains: optimization, counting paths, string matching, knapsack-style problems.
**Trade-off:** DP trades memory for speed. Memoization is easier to write; tabulation often uses less memory and avoids recursion-depth limits.</t>
  </si>
  <si>
    <t>Compare BFS and DFS graph traversal and when to use each.</t>
  </si>
  <si>
    <t># BFS vs DFS: Key Differences
## Breadth-First Search (BFS)
- Explores all neighbors at the current depth before going deeper
- Uses a **queue** data structure
- Explores level-by-level, guaranteeing shortest path in unweighted graphs
**Best for:**
- Shortest path problems (unweighted)
- Level-order traversal
- Finding connected components
- Social network distance queries
## Depth-First Search (DFS)
- Explores as far as possible along each branch before backtracking
- Uses a **stack** (recursion or explicit)
- Uses less memory for wide, shallow graphs
**Best for:**
- Cycle detection
- Topological sorting
- Strongly connected components
- Maze solving, backtracking problems
## Quick Comparison
| Aspect | BFS | DFS |
|--------|-----|-----|
| **Space** | O(width) – worse for wide graphs | O(depth) – worse for deep graphs |
| **Time** | O(V + E) | O(V + E) |
| **Path** | Shortest in unweighted | May be longer |
| **Memory** | Higher for wide trees | Lower for deep trees |
## Practical Example
Finding the shortest path in an unrooted tree? **BFS**. Checking if a graph has cycles? **DFS**. Need to visit all nodes with minimal memory? **DFS on a web crawler; BFS for shortest route**.
**Choose BFS** when path optimality matters or you need level-by-level traversal. **Choose DFS** for simpler recursive solutions or when memory is constrained.</t>
  </si>
  <si>
    <t>## BFS vs DFS Graph Traversal
### Breadth-First Search (BFS)
Explores all neighbors at the current depth before moving deeper. Uses a **queue** (FIFO).
**Best for:**
- **Shortest path** in unweighted graphs (guaranteed optimal)
- Level-order traversal (e.g., social network "degrees of separation")
- When the target is likely **close to the start**
**Trade-off:** Memory usage is O(branching_factor^depth) — expensive on wide graphs.
### Depth-First Search (DFS)
Explores as far as possible along each branch before backtracking. Uses a **stack** (or recursion).
**Best for:**
- **Cycle detection** and topological sorting
- Pathfinding where *any* path suffices (not necessarily shortest)
- Maze solving, puzzle states, backtracking problems
- When the target is likely **deep** in the graph
**Trade-off:** Doesn't guarantee shortest path. Can get stuck in deep/infinite branches without a depth limit.
### Quick Reference
| Aspect | BFS | DFS |
|---|---|---|
| Data structure | Queue | Stack / recursion |
| Shortest path (unweighted) | Yes | No |
| Memory | O(V) worst, high on wide graphs | O(V) worst, high on deep graphs |
| Completeness | Yes | Yes (finite graphs) |
| Time complexity | O(V + E) | O(V + E) |
### Rule of Thumb
Need **shortest distance**? Use BFS. Need to **explore all possibilities** or detect structure (cycles, components)? DFS is usually simpler and more memory-efficient.</t>
  </si>
  <si>
    <t>How does a hash map handle collisions?</t>
  </si>
  <si>
    <t># Hash Map Collision Handling
Hash maps address collisions—when two keys hash to the same index—using several strategies:
## **1. Chaining (Most Common)**
Store colliding entries in a linked list at each bucket. When looking up a key, traverse the chain to find the match.
**Pros:** Simple, good worst-case behavior predictability  
**Cons:** Extra memory for pointers; slower for deep chains
## **2. Open Addressing**
Place the new entry elsewhere in the table using a probe sequence:
- **Linear probing:** Check next index (i+1, i+2, ...)
- **Quadratic probing:** Check i+1², i+2², ... (reduces clustering)
- **Double hashing:** Use a second hash function
**Pros:** No extra pointers, better cache locality  
**Cons:** Deletions complicate things; primary/secondary clustering degrades performance
## **3. Dynamic Resizing**
When collisions become too frequent, rehash everything into a larger table. Load factor (entries ÷ buckets) triggers this—typically around 0.75.
**Pros:** Keeps collision rate manageable  
**Cons:** Expensive O(n) operation, but amortized to O(1) per insertion
## **Trade-offs**
- **Chaining** scales better under high load but uses more memory
- **Open addressing** is cache-friendly but requires careful tuning
- Most production hash maps (Java's HashMap, Python's dict) use **chaining with resizing**
The choice depends on your workload: chaining for unknown key distributions, open addressing if memory is tight and collisions are rare.</t>
  </si>
  <si>
    <t>## Hash Map Collision Handling
A collision occurs when two different keys hash to the same bucket. There are two primary strategies:
### 1. Separate Chaining
Each bucket holds a linked list (or another collection) of entries. Colliding keys are appended to the same list.
- **Pros:** Simple, graceful under high load.
- **Cons:** Extra memory for pointers; cache-unfriendly due to pointer chasing.
```
bucket[3] → (key="foo", val=1) → (key="bar", val=2) → null
```
### 2. Open Addressing
All entries live inside the array itself. On collision, the map probes for the next open slot using a probing sequence:
- **Linear probing:** check `i+1, i+2, …` — cache-friendly but prone to clustering.
- **Quadratic probing:** check `i+1², i+2², …` — reduces clustering.
- **Double hashing:** use a second hash function for the step size — best distribution, slightly more expensive.
### Key trade-offs
| | Chaining | Open Addressing |
|---|---|---|
| Memory | Extra per-node overhead | Compact, cache-friendly |
| Load factor | Works well above 1.0 | Degrades past ~0.7–0.8 |
| Deletion | Simple (remove node) | Requires tombstones |
### Resizing
Both strategies rely on **resizing** (typically doubling the array and rehashing all keys) when the load factor crosses a threshold, keeping average lookup at **O(1)** amortized.
Most modern implementations (Java's `HashMap`, Python's `dict`, Go's `map`) use variations of these, often with optimizations like converting chains to balanced trees at high bucket depth.</t>
  </si>
  <si>
    <t>What are the key principles of RESTful API design?</t>
  </si>
  <si>
    <t># Key Principles of RESTful API Design
**Resource-Oriented Architecture**
- Model your API around resources (nouns), not actions (verbs)
- Use URLs to identify resources: `/users/123`, not `/getUser`
- Resources are manipulated through standard HTTP methods
**HTTP Methods (Correct Usage)**
- **GET**: Retrieve data (safe, idempotent)
- **POST**: Create new resources
- **PUT/PATCH**: Update existing resources
- **DELETE**: Remove resources
- Using the right method matters for caching, semantics, and client behavior
**Statelessness**
- Each request contains all information needed to process it
- Server doesn't store client context between requests
- Enables scalability and simplifies server logic
**Standard Status Codes**
- **2xx**: Success (200 OK, 201 Created, 204 No Content)
- **4xx**: Client errors (400 Bad Request, 404 Not Found, 409 Conflict)
- **5xx**: Server errors
- Clients rely on codes for error handling
**Consistent Response Format**
- Use JSON consistently (or XML if needed)
- Structure responses predictably
- Include metadata (links, pagination) where helpful
**Versioning**
- Plan for API evolution: `/v1/users` or header-based versioning
- Allows backward compatibility while supporting new features
**Pagination &amp; Filtering**
- Support `?page=1&amp;limit=10` for large datasets
- Allow filtering: `?status=active&amp;role=admin`
- Prevents overwhelming clients and servers
**Hypermedia (HATEOAS)**
- Include links in responses to related resources
- Reduces client coupling to URL structures
- Often optional in practice but valuable for discoverability
These principles promote consistency, maintainability, and intuitive API usage.</t>
  </si>
  <si>
    <t>## Key Principles of RESTful API Design
**1. Resource-Oriented URLs**
Use nouns, not verbs. Resources are entities (`/users`, `/orders/123`), and HTTP methods express the action.
**2. Proper Use of HTTP Methods**
- `GET` — read (idempotent)
- `POST` — create
- `PUT` / `PATCH` — full / partial update
- `DELETE` — remove
**3. Statelessness**
Each request must contain all information needed to process it. No server-side session state between calls.
**4. Consistent Resource Naming**
- Plural nouns: `/users`, not `/user`
- Hierarchical nesting for relationships: `/users/42/orders`
- Kebab-case or snake_case — pick one and stick with it
**5. Meaningful HTTP Status Codes**
Return `201 Created` on creation, `204 No Content` on delete, `404` for missing resources, `422` for validation errors — not `200` for everything.
**6. Pagination, Filtering, and Sorting**
Use query parameters (`?page=2&amp;limit=20&amp;sort=-created_at`) rather than creating separate endpoints.
**7. Versioning**
Prefix with `/v1/` or use an `Accept` header. This protects existing clients when contracts change.
**8. HATEOAS (when warranted)**
Responses include links to related actions/resources. Powerful but adds complexity — many teams skip this in practice.
**9. Consistent Error Format**
Return structured error bodies with a code, message, and optional field-level details.
**Trade-off to note:** Strict REST can lead to chatty APIs (many round-trips). For complex reads, consider complementing REST with a query-oriented pattern like GraphQL or dedicated composite endpoints.</t>
  </si>
  <si>
    <t>Compare REST, GraphQL and gRPC for a mobile app backend.</t>
  </si>
  <si>
    <t># REST vs GraphQL vs gRPC for Mobile Backends
## REST
**Pros:** Simple, HTTP-native, excellent caching, browser-friendly, large ecosystem
**Cons:** Over/under-fetching (bandwidth waste), multiple round-trips, limited real-time support
**Best for:** Simple CRUD operations, public APIs, when caching matters.
## GraphQL
**Pros:** Precise data fetching (mobile bandwidth benefit), single query for complex needs, strong typing, excellent for evolving APIs
**Cons:** Harder caching, steeper learning curve, potential complexity for simple use cases, can enable expensive queries
**Best for:** Feature-rich apps needing flexible data shapes, rapid iteration on client requirements.
## gRPC
**Pros:** Extremely fast (HTTP/2), small payloads (binary), bidirectional streaming, low CPU/battery impact
**Cons:** Not HTTP-friendly, requires native libraries, harder debugging, less mature mobile tooling
**Best for:** Real-time features, high-throughput scenarios, latency-sensitive apps.
## Mobile-Specific Considerations
| Factor | REST | GraphQL | gRPC |
|--------|------|---------|------|
| **Battery** | Fair | Good | Best |
| **Bandwidth** | Fair | Best | Best |
| **Latency** | Fair | Good | Best |
| **Dev complexity** | Easiest | Medium | Harder |
| **Offline support** | Good | Good | Fair |
## Recommendation
**Start with GraphQL** for most mobile apps—it balances efficiency gains with manageable complexity. Use **REST** if your queries are simple/standard. Consider **gRPC** only if profiling shows latency/battery issues, or for specific real-time features like chat/gaming.
**Hybrid approach:** REST for simple endpoints, GraphQL for complex queries, gRPC for real-time streams.</t>
  </si>
  <si>
    <t>## REST vs GraphQL vs gRPC for Mobile Backends
### REST
- **Pros:** Universal support, simple caching (HTTP-level), huge ecosystem, easy to debug with browser/curl.
- **Cons:** Over-fetching and under-fetching are common — mobile clients often need multiple round-trips or receive unused fields, wasting bandwidth.
- **Best for:** Public APIs, simple CRUD apps, teams wanting minimal tooling overhead.
### GraphQL
- **Pros:** Client specifies exactly the fields it needs — eliminates over-fetching. One endpoint, one round-trip for complex screens. Strong typing via schema.
- **Cons:** HTTP caching is harder (everything is POST). Query complexity can cause performance issues server-side without safeguards (depth limiting, cost analysis). Larger learning curve.
- **Best for:** Data-rich mobile UIs with many nested relationships, apps where bandwidth matters (e.g., poor connectivity), rapidly evolving frontends.
### gRPC
- **Pros:** Binary Protobuf encoding is compact and fast to serialize — ideal for low-bandwidth/high-throughput. Built-in streaming (server, client, bidirectional). Strict contract via `.proto` files with codegen for most languages.
- **Cons:** No native browser support (needs gRPC-Web proxy). Harder to inspect/debug. Less tooling for mobile compared to REST/GraphQL.
- **Best for:** Service-to-service communication, real-time features (chat, location streaming), performance-critical paths.
### Practical recommendation
Most mobile teams benefit from **GraphQL** as the primary client-facing API (solves the over-fetching problem that hits mobile hardest) with **gRPC** internally between microservices. Use **REST** if the API is simple or public-facing and you want the lowest operational complexity.
They're not mutually exclusive — many production systems combine two or all three.</t>
  </si>
  <si>
    <t>How would you version a public REST API without breaking existing clients?</t>
  </si>
  <si>
    <t># API Versioning Strategies
## Common Approaches
**URL-Based Versioning** (most common)
- Place version in path: `/api/v1/users`, `/api/v2/users`
- **Pros:** Clear, cacheable, easy routing
- **Cons:** Doubles endpoint maintenance; forces major upgrades
**Header-Based Versioning**
- Client specifies version via `Accept: application/vnd.company.v2+json`
- **Pros:** Single URL; cleaner resource URIs
- **Cons:** Hidden from browser; harder to test; less discoverable
**Query Parameter**
- `/api/users?version=2`
- **Pros:** Visible, flexible
- **Cons:** Not RESTful; caching issues
## Best Practice Hybrid
1. **Use URL versioning for major breaks** — deploy `/v1/` and `/v2/` side-by-side
2. **Maintain backward compatibility within versions** — use optional fields, additive changes
3. **Deprecation timeline** — announce sunsetting old versions 6-12 months ahead
4. **Graceful degradation** — accept but ignore unknown fields; provide helpful error messages
## Implementation Tips
- **Keep old versions running** — route `/v1/` requests to legacy code or adapters; don't reuse endpoints
- **Document clearly** — each version gets its own documentation; show migration guides
- **Monitor adoption** — track which clients use which versions to plan deprecation
- **Add sunset headers** — signal end-of-life: `Sunset: Wed, 21 Nov 2025 07:28:00 GMT`
**Trade-off:** URL versioning adds operational complexity but is most predictable for clients. Many teams use it despite its overhead because the clarity wins.</t>
  </si>
  <si>
    <t># REST API Versioning Strategies
There are three mainstream approaches, each with trade-offs:
## 1. URI Path Versioning (most common)
```
GET /v1/users
GET /v2/users
```
- **Pros:** Explicit, easy to route, cache-friendly, simple to document.
- **Cons:** Violates the REST principle that a URI identifies a resource (not a representation). Clients must update URLs to migrate.
## 2. Header / Content Negotiation Versioning
```
Accept: application/vnd.myapi.v2+json
```
- **Pros:** Cleaner URIs, aligns with HTTP semantics.
- **Cons:** Harder to test (can't just paste a URL), less discoverable, proxies/caches may ignore custom headers.
## 3. Query Parameter Versioning
```
GET /users?version=2
```
- **Pros:** Easy to add, optional with a default.
- **Cons:** Pollutes the query string, easy to forget, weaker caching.
## Practical Guidelines
- **Pick one scheme and stick with it.** URI path versioning wins on simplicity for most teams.
- **Default unversioned requests** to the latest stable version (or the oldest, depending on your compatibility promise — oldest is safer).
- **Version only when you introduce breaking changes** (removed fields, changed semantics). Additive changes (new optional fields) don't need a new version.
- **Run versions in parallel** with a published deprecation timeline (e.g., 12 months), and return `Sunset` / `Deprecation` headers so clients can detect it programmatically.
- **Keep a changelog** — machine-readable (OpenAPI diff) and human-readable.
**Bottom line:** URI path versioning (`/v1/`) is the pragmatic default. Pair it with a clear deprecation policy and additive-change-first discipline to minimize the number of major versions you ever need.</t>
  </si>
  <si>
    <t>Explain idempotency in APIs and why it matters for payment requests.</t>
  </si>
  <si>
    <t>## Idempotency in APIs
**What it is:** An idempotent API operation produces the same result whether called once or multiple times. Multiple identical requests don't cause side effects—the outcome remains unchanged.
**Why it matters for payments:**
1. **Network failures &amp; retries** – When a payment request times out, you can't know if it succeeded. Retrying a non-idempotent API risks charging the customer twice. With idempotency, safe retries prevent duplicate charges.
2. **User impatience** – Customers click "Pay" twice if the page freezes. An idempotent payment API ensures the second click doesn't create a second charge.
3. **System reliability** – Processing systems crash mid-transaction. Idempotent endpoints let you replay failed requests without consequences.
**How it works:**
Clients include an **idempotency key** (a unique identifier) in the request header:
```
POST /payments
Idempotency-Key: unique-transaction-123
{ "amount": 99.99, "currency": "USD" }
```
The server:
- Checks if this key was processed before
- If yes, returns the cached result (even if the original transaction is still pending)
- If no, processes it and caches the result
**Trade-offs:**
- **Pro:** Eliminates duplicate charges; simplifies error handling
- **Con:** Requires server-side caching; adds storage overhead; idempotency keys must remain valid during transaction settlement periods (typically 24-48 hours)
**Best practice:** Idempotency is essential for financial transactions—it's non-negotiable, not optional.</t>
  </si>
  <si>
    <t>## Idempotency in APIs
**Idempotency** means that making the same request multiple times produces the same result as making it once. A `GET` is naturally idempotent; the challenge is making mutating operations (`POST`, `PUT`) idempotent too.
### Why It Matters for Payments
Network failures, timeouts, and retries are inevitable. Without idempotency, a customer clicking "Pay" during a timeout could be charged twice — or more. The consequences are chargebacks, lost trust, and regulatory headaches.
### How It Works
The client generates a unique **idempotency key** (typically a UUID) and sends it in a header:
```
POST /v1/charges
Idempotency-Key: 8a3b1f7e-...
```
The server then:
1. Checks if it has already processed that key.
2. **If yes** — returns the stored response without re-executing the action.
3. **If no** — processes the request and stores the result keyed by that ID.
### Key Trade-offs
- **Storage**: You need a durable store (database, Redis) for keys and responses, with a TTL to avoid unbounded growth (Stripe uses 24 hours).
- **Scope**: Keys are typically scoped per API client/account to avoid collisions.
- **Concurrency**: If two identical requests arrive simultaneously, you need locking or compare-and-swap to prevent double-execution — a simple "check then insert" isn't sufficient.
- **Non-idempotent side effects**: The saved response handles the API caller, but downstream effects (emails, webhooks) may need their own deduplication.
Every major payment processor (Stripe, Adyen, Square) requires or strongly recommends idempotency keys on charge creation for exactly these reasons.</t>
  </si>
  <si>
    <t>What is rate limiting and how does the token bucket algorithm work?</t>
  </si>
  <si>
    <t># Rate Limiting &amp; Token Bucket Algorithm
## Rate Limiting
Rate limiting controls how often a client can make requests within a time window. It prevents abuse, protects resources, and ensures fair usage across users. Common strategies include:
- **Fixed window**: Count requests per time period (e.g., 100/minute)
- **Sliding window**: More accurate but costlier to track
- **Token bucket**: Flexible, standard in practice
## Token Bucket Algorithm
Think of a bucket that fills with tokens at a fixed rate and empties when requests are made.
**How it works:**
1. Tokens are added at a constant rate (e.g., 10 tokens/second)
2. The bucket has a maximum capacity (e.g., 100 tokens)
3. Each request costs 1+ tokens; if insufficient tokens exist, the request is rejected or queued
4. Unused tokens cap at the bucket size
**Advantages:**
- Handles **bursts gracefully**: Accumulated tokens allow temporary traffic spikes
- Simple to implement and tune
- Supports variable request costs (e.g., expensive operations use more tokens)
**Example:**
```
Bucket capacity: 100 tokens
Refill rate: 10 tokens/second
Time 0s: 100 tokens available
Time 1s: 100 tokens (at capacity)
Requests at 1s: 50 requests → 50 tokens remain
Time 2s: 60 tokens (50 + 10 new tokens)
```
## Trade-offs
- **Token bucket**: Allows bursts; simpler logic
- **Fixed window**: Cheaper but allows bursts at window boundaries
- **Sliding window**: Prevents all burst patterns but requires more memory
For APIs, token bucket is ideal—it's fair, predictable, and production-proven.</t>
  </si>
  <si>
    <t>## Rate Limiting
Rate limiting controls how many requests a client can make to a service within a time window. It protects backends from overload, ensures fair usage, and mitigates abuse (brute-force attacks, scraping, etc.).
## Token Bucket Algorithm
One of the most widely used rate-limiting strategies. The mental model is simple:
- **A bucket** holds up to **B tokens** (the *burst capacity*).
- Tokens are **added at a fixed rate** — *r* tokens per second (the *sustained rate*).
- Each request **consumes one (or more) tokens**. If the bucket has enough tokens, the request proceeds; otherwise it's rejected or queued.
- The bucket **never exceeds B tokens** — surplus tokens are discarded.
### Example
With `r = 10 tokens/sec` and `B = 50`:
- A client can burst up to 50 requests instantly.
- After the burst, they're capped at 10 req/s sustained.
- If idle, the bucket gradually refills back to 50.
### Why It's Popular
- **Allows bursts** — unlike fixed-window counters, short spikes are tolerated as long as long-term usage stays within bounds.
- **Simple to implement** — just two values to track per client: `tokens_remaining` and `last_refill_timestamp`.
- **Constant memory** — O(1) per key, no per-request log needed.
### Trade-offs
| Approach | Burst-friendly | Precision | Complexity |
|---|---|---|---|
| Token bucket | Yes | Good | Low |
| Sliding window log | Yes | Exact | Higher (stores timestamps) |
| Fixed window counter | No (boundary spikes) | Approximate | Lowest |
Token bucket strikes the best balance for most API rate-limiting scenarios.</t>
  </si>
  <si>
    <t>Explain the difference between git merge and git rebase and when to use each.</t>
  </si>
  <si>
    <t># Git Merge vs. Rebase
## **Merge**
Combines two branches by creating a merge commit that preserves both histories. The feature branch history remains intact.
**Characteristics:**
- Creates a new merge commit
- Full history of both branches visible
- Non-destructive
- Can result in a bushy graph with many merge commits
**When to use:**
- Public/shared branches (main, develop)
- When collaboration history matters
- Team prefers explicit integration points
- Safety is priority
## **Rebase**
Replays your commits on top of the target branch, rewriting history linearly.
**Characteristics:**
- No merge commit created
- Clean, linear history
- Rewrites commit hashes (destructive)
- Easier to follow with `git log`
**When to use:**
- Local feature branches before merging
- Keeping history clean on public branches (with caution)
- Small teams with clear workflows
- Before submitting pull requests
## **Key Trade-offs**
| Aspect | Merge | Rebase |
|--------|-------|--------|
| **Safety** | ✓ Keeps all commits | ⚠ Rewrites history |
| **Readability** | Bushy graph | Clean, linear |
| **Collaboration** | Safe for shared branches | Use only on local branches |
| **Debugging** | Merge commit shows integration | Harder to trace integration points |
## **Best Practice**
**Rebase locally** to keep your branch clean, then **merge to main** to preserve integration history. This gives you both clean development and clear collaboration records.</t>
  </si>
  <si>
    <t>## Git Merge vs Git Rebase
### Merge
Creates a **merge commit** that joins two branches, preserving the full branch history as it actually happened.
```
main:    A---B---C---M
              \     /
feature:       D---E
```
- Non-destructive — existing commits are never changed.
- Produces a merge commit, which can clutter history on active repos.
### Rebase
**Replays** your branch's commits on top of the target branch, rewriting history into a linear sequence.
```
main:    A---B---C
                  \
feature:           D'---E'
```
- Produces a clean, linear history — easier to read and bisect.
- **Rewrites commit hashes** — dangerous if the branch is shared/pushed.
### When to use each
| Scenario | Preferred |
|---|---|
| Updating a **local feature branch** with latest main | **Rebase** — keeps history linear before you open a PR |
| Integrating a **shared/public branch** (e.g., merging a PR into main) | **Merge** — preserves context, doesn't rewrite published history |
| Resolving divergence on a branch **others are working on** | **Merge** — avoids forcing collaborators to reset |
| Cleaning up commits **before** pushing | **Interactive rebase** (`rebase -i`) — squash/reorder for a tidy PR |
### The golden rule
**Never rebase commits that have been pushed and shared with others.** Rewriting public history forces everyone else to reconcile the divergence, which is error-prone and disruptive.
A common workflow: rebase locally to stay current, then merge (or squash-merge) into main via PR.</t>
  </si>
  <si>
    <t>How do you undo the last git commit that has already been pushed to a shared branch?</t>
  </si>
  <si>
    <t># Undoing a Pushed Commit to a Shared Branch
The key challenge: you can't safely delete commits from shared branches without disrupting other developers' work. Here are the safe approaches:
## **1. Revert (Recommended for shared branches)**
Create a new commit that undoes the changes:
```bash
git revert &lt;commit-hash&gt;
git push
```
**Pros:** Preserves history; other developers don't need to rebase.  
**Cons:** Leaves the "bad" commit in history.
## **2. Reset + Force Push (Only if coordinated)**
If the commit is very recent and your team agrees:
```bash
git reset --soft HEAD~1
# Modify/commit as needed
git push --force
```
**Pros:** Clean history.  
**Cons:** Requires all teammates to rebase; risky for shared branches.
## **3. Amend + Force Push (For minor fixes)**
If you just forgot something small:
```bash
git add &lt;files&gt;
git commit --amend
git push --force
```
**Pros:** Single, corrected commit.  
**Cons:** Same force-push coordination issues.
## **Best Practice**
- **Use revert for production/main branches** — it's safe and auditable.
- **Use reset/amend only for personal feature branches** where no one else is working.
- **Communicate with your team** before force-pushing to any shared branch.
**Key rule:** Never force-push to branches where others are actively working unless everyone agrees beforehand.</t>
  </si>
  <si>
    <t>## Undoing a Pushed Commit on a Shared Branch
**Use `git revert`, not `git reset`.**
```bash
git revert &lt;commit-hash&gt;
git push
```
`git revert` creates a **new commit** that undoes the changes of the target commit. This is safe for shared branches because it preserves history — no one's local clone breaks.
### Why not `git reset --hard` + `git push --force`?
- It **rewrites history**, which causes problems for anyone who already pulled the commit.
- Their local branch diverges from remote, leading to merge conflicts or lost work.
- Force-pushing to shared branches (especially `main`) is widely considered a destructive anti-pattern.
### Useful options
- **Revert without auto-committing** — `git revert --no-commit &lt;hash&gt;` stages the inverse changes so you can review or combine them before committing.
- **Revert a merge commit** — `git revert -m 1 &lt;merge-hash&gt;` (the `-m 1` specifies which parent to keep, typically the mainline).
- **Revert multiple commits** — `git revert &lt;oldest&gt;^..&lt;newest&gt;` reverts a range in reverse order.
### Trade-offs
| | `revert` | `reset` + force-push |
|---|---|---|
| History | Preserved | Rewritten |
| Safe for shared branches | Yes | No |
| Clean history | Adds a revert commit | Cleaner, but risky |
**Rule of thumb:** If anyone else has pulled the commit, always revert. Reserve `reset` + force-push for personal/feature branches where you're the sole contributor.</t>
  </si>
  <si>
    <t>What is a good branching strategy for a team of 10 developers releasing every two weeks?</t>
  </si>
  <si>
    <t># Recommended Branching Strategy: Git Flow Lite
For a 10-person team with bi-weekly releases, I'd recommend **Git Flow** or a simplified variant:
## Core Structure
**Main branches:**
- `main` — production-ready code, tagged with version releases
- `develop` — integration branch for features targeting the next release
- `release/*` — release candidates (created one week before release)
- `hotfix/*` — urgent production fixes
## Workflow
1. **Features**: Each developer creates `feature/JIRA-123-description` from `develop`
2. **Code review**: PR into `develop` (require 1–2 approvals)
3. **Release prep**: One week before release, cut `release/v1.2.0` from `develop`
4. **Testing &amp; fixes**: Only bug fixes go into release branch
5. **Production**: Merge `release/v1.2.0` → `main`, tag `v1.2.0`, merge back → `develop`
6. **Hotfixes**: `hotfix/*` branches from `main` for critical production bugs
## Why This Works
- **Clear separation**: Development doesn't block releases
- **Parallel work**: 10 developers can work independently without conflicts
- **Predictability**: Release branch locks down scope one week early
- **Traceability**: Version tags and release branches document history
## Alternatives
- **Trunk-based** (if you have mature CI/CD): All work to `main`, feature flags for incomplete features—lower overhead but requires discipline
- **GitHub Flow** (simpler): `main` + feature branches—good if you deploy every PR, but less suitable for scheduled bi-weekly releases
For your team size and cadence, **Git Flow Lite** gives the best balance of structure and developer velocity.</t>
  </si>
  <si>
    <t>## Recommended: GitHub Flow + Release Branches
For a 10-person team on a two-week cadence, keep it simple:
### Core Workflow
- **`main`** is always deployable. Protect it with required reviews and CI.
- **Feature branches** (`feature/ticket-id-short-desc`) branch off `main` and merge back via pull request. Keep them short-lived (1–3 days ideally).
- **Release branches** (`release/2026-10-13`) cut from `main` at the start of your stabilization window (e.g., 2 days before release). Only bug fixes cherry-pick into the release branch.
### Why Not Git Flow?
Full Git Flow (with `develop`, `release/*`, `hotfix/*`) adds overhead that rarely pays off at this team size and cadence. You'd spend more time managing branches than shipping code.
### Practical Rules
- **One PR per ticket** — easier to review, revert, and bisect.
- **Merge via squash-merge** to keep `main` history linear and readable.
- **Delete branches after merge** to avoid clutter.
- **Hotfixes** branch off the release tag, merge into both `main` and the release branch.
### Trade-offs to Watch
- **Short-lived branches require CI speed.** If your pipeline is slow (&gt;15 min), developers will batch changes into larger PRs, defeating the purpose.
- **Feature flags** complement this well — they let you merge incomplete work to `main` without exposing it to users, reducing long-lived branch risk.
- **Release branch freeze discipline** is critical. Without it, last-minute merges destabilize releases.
This gives you simplicity for day-to-day work while still providing a stable release cut point.</t>
  </si>
  <si>
    <t>Explain what git cherry-pick does and a situation where it is useful.</t>
  </si>
  <si>
    <t>## git cherry-pick Explained
**What it does:**
`git cherry-pick` applies specific commits from one branch to another. It copies the changes from selected commits and replays them on top of your current branch, creating new commits with the same changes but different commit hashes.
```bash
git cherry-pick &lt;commit-hash&gt;
```
## Common Use Cases
**Bug fixes on multiple branches:**
- A critical bug is fixed on `main`. You need the same fix on an older `release-v1.0` branch without merging all of `main`'s changes.
**Selective feature backport:**
- A useful improvement lands on `develop`, but you only want that specific feature on `production` without taking unrelated work.
**Recovering lost commits:**
- You accidentally committed to the wrong branch. Cherry-pick moves it to the correct branch.
**Release management:**
- You cherry-pick only validated commits from `main` into a release branch, excluding experimental features.
## Trade-offs
**Advantages:**
- Surgical precision—grab exactly what you need
- Avoids unwanted changes from a full merge
- Good for coordinating across multiple release branches
**Disadvantages:**
- Creates duplicate commits (different hashes), complicating history
- Can cause merge conflicts if the source and target have diverged
- Harder to track relationships between branches over time
- Fragmented history makes rebasing or auditing harder
**Better alternatives often exist:** Full merges preserve history better; if cherry-picking multiple commits, consider a proper merge instead.</t>
  </si>
  <si>
    <t>## `git cherry-pick`
`git cherry-pick &lt;commit-hash&gt;` applies a **single commit** from one branch onto your current branch, creating a new commit with the same changes and message (but a different SHA).
### How it works
1. Git computes the diff introduced by the target commit.
2. It applies that diff to your current `HEAD`.
3. A new commit is created — the original commit remains untouched on its source branch.
```bash
git checkout main
git cherry-pick a1b2c3d
```
### When it's useful
**Hotfix backporting** is the classic scenario. Suppose a developer fixes a bug on the `develop` branch, but the fix also needs to ship immediately on `main` (or a release branch). Instead of merging all of `develop` — which may contain unfinished features — you cherry-pick just the fix commit onto `main`.
Other common uses:
- **Recovering work** from an abandoned or rebased branch.
- **Selectively promoting** specific features to a release branch in a staged-release workflow.
### Trade-offs
- **Duplicate commits**: The same logical change exists as two distinct commits, which can cause confusing diffs or merge conflicts later if both branches are eventually merged.
- **Conflict risk**: If the surrounding code has diverged, the cherry-pick may require manual conflict resolution.
- **Not a substitute for merging**: Overuse signals a branching strategy problem. If you cherry-pick frequently, consider whether your branch model needs rethinking.
In short: cherry-pick is a surgical tool for moving individual changes between branches when a full merge isn't appropriate.</t>
  </si>
  <si>
    <t>How do you resolve a merge conflict in git, step by step?</t>
  </si>
  <si>
    <t># Resolving Git Merge Conflicts
## Step-by-Step Process
**1. Identify the conflict**
When you run `git merge` or `git pull` and conflicts occur, git stops and marks conflicted files. Run `git status` to see which files have conflicts.
**2. Examine the conflict markers**
Open each conflicted file. You'll see markers like:
```
&lt;&lt;&lt;&lt;&lt;&lt;&lt; HEAD
your changes
=======
their changes
&gt;&gt;&gt;&gt;&gt;&gt;&gt; branch-name
```
The section between `&lt;&lt;&lt;&lt;&lt;&lt;&lt;` and `=======` is your version; the section between `=======` and `&gt;&gt;&gt;&gt;&gt;&gt;&gt;` is theirs.
**3. Resolve each conflict**
- **Edit the file**: Remove the conflict markers and keep the code you want. You might:
  - Keep only your version
  - Keep only their version
  - Combine both changes
  - Write new code entirely
**4. Mark as resolved**
After editing, stage the file:
```
git add &lt;filename&gt;
```
**5. Complete the merge**
Once all conflicts are resolved and staged, finish the merge:
```
git commit -m "Resolve merge conflict in &lt;filename&gt;"
```
## Best Practices
- **Communicate**: Before merging conflicting branches, coordinate with teammates about whose changes should take precedence.
- **Test**: After resolving, run your tests to ensure the merged code works.
- **Review**: Have someone else review the resolution, especially for complex conflicts.
- **Use tools**: Many IDEs and tools (VSCode, GitKraken, Sourcetree) provide visual merge conflict editors, which can be clearer than manual editing.
## Alternative: Abort if uncertain
If unsure, abort the merge with `git merge --abort` and coordinate with your team first.</t>
  </si>
  <si>
    <t>## Resolving a Merge Conflict in Git
**1. Identify the conflict**
After a `git merge` or `git pull` that fails, run:
```bash
git status
```
Files listed as "both modified" have conflicts.
**2. Open the conflicted files**
Look for conflict markers:
```
&lt;&lt;&lt;&lt;&lt;&lt;&lt; HEAD
your changes
=======
incoming changes
&gt;&gt;&gt;&gt;&gt;&gt;&gt; branch-name
```
**3. Resolve each conflict**
Edit the file to keep the correct code — yours, theirs, or a combination. Remove all conflict markers (`&lt;&lt;&lt;&lt;&lt;&lt;&lt;`, `=======`, `&gt;&gt;&gt;&gt;&gt;&gt;&gt;`).
**4. Stage the resolved files**
```bash
git add &lt;resolved-file&gt;
```
**5. Complete the merge**
```bash
git commit
```
Git auto-generates a merge commit message. Edit it if needed.
---
### Useful options
- **Abort the merge** if you want to start over: `git merge --abort`
- **Use a merge tool** for a visual diff: `git mergetool`
- **Pick one side wholesale**: `git checkout --ours &lt;file&gt;` or `git checkout --theirs &lt;file&gt;`, then `git add`.
### Tips
- Resolve conflicts file-by-file and test before committing.
- Frequent rebasing or merging from the target branch reduces conflict size.
- If conflicts are large, communicate with the other author — don't guess at intent.</t>
  </si>
  <si>
    <t>Explain what an API is to a non-technical manager in under 100 words.</t>
  </si>
  <si>
    <t>## What is an API?
Think of an API like a **restaurant menu and waiter system**:
- **Menu** = The API defines what requests you can make (what "dishes" are available)
- **Kitchen** = The backend system that processes your request
- **Waiter** = The API delivers your request and brings back the response
**In business terms:** An API lets different software systems talk to each other without needing direct access to each other's internal workings. 
**Real example:** When you book a flight online, the airline's website uses an API to check seat availability from their reservation system in real-time. Your browser doesn't access their database directly—it sends a request through the API, gets a response, and displays the results.
**Key benefit:** APIs let companies build faster, share data safely, and integrate with third-party services securely.</t>
  </si>
  <si>
    <t>An **API** (Application Programming Interface) is a set of rules that lets two software systems talk to each other — like a waiter taking your order to the kitchen and bringing back your food.
When you use an app on your phone to check the weather, that app sends a request through an API to a weather service, which sends the data back.
**Why it matters to you:** APIs let your products connect to other services (payments, maps, email) without building everything from scratch — saving time, money, and engineering effort.</t>
  </si>
  <si>
    <t>Summarize the SOLID principles with a one-line example for each.</t>
  </si>
  <si>
    <t># SOLID Principles
**Single Responsibility Principle (SRP)**
A class should have only one reason to change. *Example: A `UserValidator` class validates users, while a separate `UserRepository` handles persistence.*
**Open/Closed Principle (OCP)**
Classes should be open for extension but closed for modification. *Example: Use a `PaymentProcessor` interface so you can add new payment types (Stripe, PayPal) without changing existing code.*
**Liskov Substitution Principle (LSP)**
Subtypes must be substitutable for their parent types without breaking behavior. *Example: A `Square` shouldn't inherit from `Rectangle` if it changes the width/height relationship, violating caller expectations.*
**Interface Segregation Principle (ISP)**
Clients shouldn't depend on interfaces they don't use. *Example: Don't force a `TextLogger` to implement `rotate()` from a `Logger` interface meant for file loggers.*
**Dependency Inversion Principle (DIP)**
Depend on abstractions, not concrete implementations. *Example: Inject a `DatabaseInterface` into services instead of hardcoding `MySQLDatabase`, allowing easy swaps.*
---
**Trade-offs:** Applying SOLID too rigidly can introduce over-engineering for simple projects. Balance principles with pragmatism—start with SRP and DIP, add others as complexity grows.</t>
  </si>
  <si>
    <t># SOLID Principles
**S — Single Responsibility Principle**
A class should have only one reason to change.
```
// Bad: UserService handles auth, email, and persistence
// Good: Split into AuthService, EmailService, UserRepository
```
**O — Open/Closed Principle**
Open for extension, closed for modification.
```
// Add new discount types by implementing DiscountStrategy,
// not by adding if/else branches to calculatePrice().
```
**L — Liskov Substitution Principle**
Subtypes must be usable wherever their base type is expected without breaking behavior.
```
// If Square extends Rectangle but setWidth() silently changes height,
// code expecting Rectangle semantics will break.
```
**I — Interface Segregation Principle**
Clients shouldn't be forced to depend on methods they don't use.
```
// Split IWorker { work(); eat(); } into IWorkable and IFeedable
// so a RobotWorker doesn't need a no-op eat().
```
**D — Dependency Inversion Principle**
High-level modules should depend on abstractions, not concrete implementations.
```
// OrderService depends on PaymentGateway (interface),
// not directly on StripeClient (implementation).
```
## Key Trade-offs
- Over-applying SOLID (especially SRP and ISP) can lead to **excessive fragmentation** — dozens of tiny classes that are hard to follow.
- Under-applying it leads to **rigid, tightly coupled** code that's painful to extend.
- Apply these principles **where change is likely**; don't pre-abstract stable code that rarely changes.</t>
  </si>
  <si>
    <t>Explain the difference between unit, integration and end-to-end testing.</t>
  </si>
  <si>
    <t># Unit, Integration, and End-to-End Testing
## Unit Testing
Tests **individual components in isolation**—typically functions, classes, or methods.
- **Scope**: Single unit of code
- **Mocking**: External dependencies are mocked
- **Speed**: Very fast (milliseconds)
- **Example**: Testing a `calculateTax()` function with various inputs
## Integration Testing
Tests **multiple components working together** to ensure they communicate correctly.
- **Scope**: Multiple modules, APIs, or services
- **Mocking**: Some dependencies may be real (database, external API)
- **Speed**: Moderate (seconds to minutes)
- **Example**: Testing that a user model correctly saves to a real database and triggers a cache invalidation
## End-to-End Testing
Tests the **complete application flow** from user input to final output, simulating real usage.
- **Scope**: Entire system (UI, backend, database)
- **Mocking**: Minimal; uses real or production-like environments
- **Speed**: Slow (seconds to minutes per test)
- **Example**: Automating a browser to log in, add items to a cart, and complete checkout
## Key Trade-offs
| Aspect | Unit | Integration | E2E |
|--------|------|-------------|-----|
| **Coverage** | Code paths | System behavior | User workflows |
| **Confidence** | High (isolated) | Moderate | High (realistic) |
| **Cost** | Low | Medium | High |
| **Maintenance** | Easy | Moderate | Fragile |
**Best practice**: Build a pyramid—many unit tests, fewer integration tests, and selective E2E tests for critical user flows. This balances speed, confidence, and maintainability.</t>
  </si>
  <si>
    <t>## Unit, Integration, and End-to-End Testing
### Unit Tests
Test a single function, method, or class **in isolation**. Dependencies are mocked or stubbed out.
- **Fast** — milliseconds per test, thousands per suite.
- **Pinpoint failures** — a red test tells you exactly what broke.
- **Trade-off:** Mocks can drift from real behavior, so passing units don't guarantee the system works together.
### Integration Tests
Test how **two or more components** interact — e.g., a service hitting a real database, or two microservices communicating over HTTP.
- **Catch wiring bugs** — mismatched schemas, serialization issues, wrong query behavior.
- **Slower &amp; heavier** — need real or containerized dependencies (databases, queues).
- **Trade-off:** Broader scope makes failures harder to diagnose than unit tests.
### End-to-End (E2E) Tests
Exercise the **full system** from the user's perspective — typically driving a browser or calling the public API through every layer down to the real datastore.
- **Highest confidence** — if it passes, the feature actually works for users.
- **Slowest &amp; most brittle** — network timeouts, UI changes, and test-environment flakiness are common.
- **Trade-off:** Expensive to write, run, and maintain.
### Practical Guidance (the "Testing Trophy/Pyramid")
| Layer | Quantity | Speed | Confidence |
|-------|----------|-------|------------|
| Unit | Many | Fast | Low (isolated) |
| Integration | Moderate | Medium | Medium |
| E2E | Few | Slow | High (realistic) |
A healthy suite leans heavily on unit and integration tests for fast feedback, with a thin layer of E2E tests covering critical user journeys.</t>
  </si>
  <si>
    <t>Draft a short incident summary for a 30-minute outage caused by an expired TLS certificate.</t>
  </si>
  <si>
    <t># Incident Summary: TLS Certificate Expiration
**Severity:** Medium | **Duration:** 30 minutes | **Timestamp:** [Date/Time]
## Timeline
- **21:05** – Certificate expired; HTTPS connections began failing
- **21:15** – Monitoring alerts triggered; on-call engineer notified
- **21:25** – Root cause identified: production certificate past renewal deadline
- **21:35** – New certificate deployed and propagated
- **21:35** – Full service restoration confirmed
## Impact
- All HTTPS traffic rejected; clients received certificate validation errors
- Approximately 30 minutes of complete service unavailability
- Affected all API consumers, web browsers, and monitoring agents
- ~2,400 failed requests during outage window
## Root Cause
SSL/TLS certificate for production domain expired on 2026-09-29 at 00:00 UTC. Certificate renewal reminder was missed due to:
- Renewal notification email routed to deprecated mailbox
- Automatic renewal job disabled in previous infrastructure migration (undocumented)
- No secondary alert mechanism in place
## Resolution
- Issued and deployed new certificate immediately
- Verified all endpoints accessible within 10 minutes
## Preventive Measures
- **Short-term:** Restore automatic renewal; add secondary notification to active on-call channel
- **Medium-term:** Implement 60-day pre-expiry alerting; add certificate expiry checks to CI/CD
- **Long-term:** Migrate to automated certificate management (e.g., Let's Encrypt with auto-renewal)</t>
  </si>
  <si>
    <t>## Incident Summary — TLS Certificate Expiration
**Severity:** SEV-2  
**Duration:** ~30 minutes  
**Date:** 2026-09-29
### What happened
Production HTTPS traffic began failing at approximately [HH:MM UTC] when the TLS certificate for `[service/domain]` expired. Users experienced connection errors (ERR_CERT_DATE_INVALID) and were unable to reach the service. The certificate was renewed and deployed at [HH:MM UTC], restoring full service.
### Timeline
- **HH:MM** — Monitoring alerts fire on spike in 5xx errors and failed health checks.
- **HH:MM** — On-call engineer confirms the TLS certificate has expired.
- **HH:MM** — New certificate issued and deployed; traffic begins recovering.
- **HH:MM** — All endpoints confirmed healthy; incident closed.
### Root cause
The TLS certificate reached its expiration date without being renewed. The automated renewal process [failed silently / was not configured / was misconfigured], and no alerting existed for certificates approaching expiry.
### Impact
- **Users affected:** All external traffic to `[domain]` for ~30 minutes.
- **Data loss:** None.
- **SLA impact:** [Note any SLA breach if applicable.]
### Action items
| # | Action | Owner | Priority |
|---|--------|-------|----------|
| 1 | Implement automated cert renewal (e.g., cert-manager, ACME/Let's Encrypt) | Platform | High |
| 2 | Add monitoring alert when certs are ≤30 days from expiry | SRE | High |
| 3 | Audit all remaining manually managed certificates | Platform | Medium |
---
Fill in the bracketed placeholders with actual times, domains, and owners. Keep the tone blameless — focus on systemic fixes, not individual fault.</t>
  </si>
  <si>
    <t>Explain technical debt and how a team can manage it.</t>
  </si>
  <si>
    <t>## Technical Debt Explained
**Technical debt** is the cost of postponing proper engineering work—shortcuts taken to ship faster that create future maintenance burdens. Like financial debt, it accumulates interest: every quick fix makes the codebase harder to modify, test, and understand.
### Common Sources
- **Quick fixes** instead of proper solutions
- **Outdated dependencies** left unupgraded
- **Poor test coverage** from rushing to launch
- **Duplicate code** that should be refactored
- **Missing documentation** and unclear interfaces
### Why It Matters
Unchecked debt slows teams down. Features take longer to build, bugs multiply, and turnover increases because new developers struggle with the codebase.
### Managing Technical Debt
**1. Make it Visible**
- Track debt in your backlog alongside features
- Use checklists: missing tests, deprecated APIs, known workarounds
- Assign story points so leadership understands the cost
**2. Prioritize Ruthlessly**
- Focus on high-impact items: dependencies in security patches, bottlenecks blocking new features, stability issues
- Avoid perfectionism; not all debt needs repayment
**3. Budget Regularly**
- Reserve 20–30% of sprint capacity for debt reduction
- Make it non-negotiable; debt compounds quickly without discipline
**4. Pay Down Incrementally**
- Refactor during feature work when you touch code
- Break large efforts into smaller PRs
- Use characterization tests to ensure behavior doesn't change
**5. Prevent Accumulation**
- Code review standards to catch shortcuts early
- Automate testing and linting so standards are enforceable
- Discuss trade-offs openly; some debt is intentional (temporary)
The key: **balance shipping with sustainability**. Small, consistent investments beat crisis-driven rewrites.</t>
  </si>
  <si>
    <t>## Technical Debt
Technical debt is the implied cost of future rework caused by choosing a quick or expedient solution now instead of a better approach that would take longer. Like financial debt, it accumulates **interest** — the longer it sits, the more it slows down development.
### Common Sources
- **Deliberate shortcuts** — "We'll clean this up after launch"
- **Outdated design** — Architecture that hasn't evolved with requirements
- **Lack of tests** — Makes changes risky and slow
- **Copy-paste duplication** — Fixes must be applied in multiple places
- **Dependency rot** — Stale libraries with security or compatibility issues
### How to Manage It
1. **Make it visible** — Track debt items in your backlog like any other work. If it's not tracked, it's ignored.
2. **Allocate capacity** — Reserve ~15–20% of each sprint for debt reduction. Don't wait for a "big rewrite" that never comes.
3. **Boy Scout Rule** — Leave code a little better than you found it. Small, incremental improvements compound over time.
4. **Prioritize by impact** — Pay down debt in high-churn areas first. Code that's rarely touched can wait.
5. **Prevent accumulation** — Code reviews, linting, CI checks, and clear coding standards reduce new debt at the source.
### Key Trade-off
Some debt is **strategic** — shipping faster to validate a market hypothesis is rational. The problem isn't taking on debt; it's taking it on *unconsciously* or never paying it back. The goal is intentional, managed debt with a repayment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</si>
</sst>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rgb="FFFFFFFF"/>
      <name val="Arial"/>
    </font>
    <font>
      <b/>
      <sz val="11"/>
      <color rgb="FF111827"/>
      <name val="Arial"/>
    </font>
    <font>
      <sz val="9"/>
      <name val="Arial"/>
    </font>
    <font>
      <b/>
      <sz val="14"/>
      <name val="Arial"/>
    </font>
    <font>
      <i/>
      <sz val="9"/>
      <color rgb="FF4B5563"/>
      <name val="Arial"/>
    </font>
    <font>
      <b/>
      <sz val="10"/>
      <name val="Arial"/>
    </font>
    <font>
      <sz val="10"/>
      <name val="Arial"/>
    </font>
    <font>
      <b/>
      <sz val="9"/>
      <color rgb="FF374151"/>
      <name val="Arial"/>
    </font>
    <font>
      <sz val="9"/>
      <color rgb="FF374151"/>
      <name val="Arial"/>
    </font>
  </fonts>
  <fills count="5">
    <fill>
      <patternFill patternType="none"/>
    </fill>
    <fill>
      <patternFill patternType="gray125"/>
    </fill>
    <fill>
      <patternFill patternType="solid">
        <fgColor rgb="FF1F2937"/>
      </patternFill>
    </fill>
    <fill>
      <patternFill patternType="solid">
        <fgColor rgb="FFDBEAFE"/>
      </patternFill>
    </fill>
    <fill>
      <patternFill patternType="solid">
        <fgColor rgb="FFFDE7D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4">
    <xf numFmtId="0" fontId="0" fillId="0" borderId="0" xfId="0"/>
    <xf numFmtId="0" fontId="4" fillId="0" borderId="0" xfId="0" applyFont="1"/>
    <xf numFmtId="0" fontId="5" fillId="0" borderId="0" xfId="0" applyFont="1"/>
    <xf numFmtId="0" fontId="1" fillId="2" borderId="1" xfId="0" applyFont="1" applyFill="1" applyBorder="1" applyAlignment="1">
      <alignment horizontal="center" vertical="center" wrapText="1"/>
    </xf>
    <xf numFmtId="0" fontId="6" fillId="0" borderId="1" xfId="0" applyFont="1" applyBorder="1"/>
    <xf numFmtId="1" fontId="7" fillId="0" borderId="1" xfId="0" applyNumberFormat="1" applyFont="1" applyBorder="1"/>
    <xf numFmtId="164" fontId="7" fillId="0" borderId="1" xfId="0" applyNumberFormat="1" applyFont="1" applyBorder="1"/>
    <xf numFmtId="0" fontId="7" fillId="0" borderId="1" xfId="0" applyFont="1" applyBorder="1"/>
    <xf numFmtId="0" fontId="8" fillId="0" borderId="0" xfId="0" applyFont="1"/>
    <xf numFmtId="0" fontId="9" fillId="0" borderId="0" xfId="0" applyFon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1" xfId="0" applyFont="1" applyBorder="1" applyAlignment="1">
      <alignment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sheetViews>
  <sheetFormatPr defaultRowHeight="14.5" x14ac:dyDescent="0.35"/>
  <cols>
    <col min="1" max="1" width="26" customWidth="1"/>
    <col min="2" max="7" width="19" customWidth="1"/>
  </cols>
  <sheetData>
    <row r="1" spans="1:3" ht="18" x14ac:dyDescent="0.4">
      <c r="A1" s="1" t="s">
        <v>0</v>
      </c>
    </row>
    <row r="2" spans="1:3" x14ac:dyDescent="0.35">
      <c r="A2" s="2" t="s">
        <v>1</v>
      </c>
    </row>
    <row r="4" spans="1:3" x14ac:dyDescent="0.35">
      <c r="A4" s="3" t="s">
        <v>2</v>
      </c>
      <c r="B4" s="3" t="s">
        <v>3</v>
      </c>
      <c r="C4" s="3" t="s">
        <v>4</v>
      </c>
    </row>
    <row r="5" spans="1:3" x14ac:dyDescent="0.35">
      <c r="A5" s="4" t="s">
        <v>5</v>
      </c>
      <c r="B5" s="5">
        <f>COUNT(Results!$A$2:$A$56)</f>
        <v>55</v>
      </c>
      <c r="C5" s="5">
        <f>COUNT(Results!$A$2:$A$56)</f>
        <v>55</v>
      </c>
    </row>
    <row r="6" spans="1:3" x14ac:dyDescent="0.35">
      <c r="A6" s="4" t="s">
        <v>6</v>
      </c>
      <c r="B6" s="5">
        <f>COUNTIF(Results!$T$2:$T$56,"Copilot")</f>
        <v>1</v>
      </c>
      <c r="C6" s="5">
        <f>COUNTIF(Results!$T$2:$T$56,"Claude")</f>
        <v>54</v>
      </c>
    </row>
    <row r="7" spans="1:3" x14ac:dyDescent="0.35">
      <c r="A7" s="4" t="s">
        <v>7</v>
      </c>
      <c r="B7" s="5">
        <f>COUNTIF(Results!$T$2:$T$56,"Tie")</f>
        <v>0</v>
      </c>
      <c r="C7" s="5">
        <f>COUNTIF(Results!$T$2:$T$56,"Tie")</f>
        <v>0</v>
      </c>
    </row>
    <row r="8" spans="1:3" x14ac:dyDescent="0.35">
      <c r="A8" s="4" t="s">
        <v>8</v>
      </c>
      <c r="B8" s="5">
        <f>COUNTIF(Results!$K$2:$K$56,"Failed")</f>
        <v>0</v>
      </c>
      <c r="C8" s="5">
        <f>COUNTIF(Results!$S$2:$S$56,"Failed")</f>
        <v>0</v>
      </c>
    </row>
    <row r="9" spans="1:3" x14ac:dyDescent="0.35">
      <c r="A9" s="4" t="s">
        <v>9</v>
      </c>
      <c r="B9" s="6">
        <f>AVERAGE(Results!$J$2:$J$56)</f>
        <v>55.090909090909093</v>
      </c>
      <c r="C9" s="6">
        <f>AVERAGE(Results!$R$2:$R$56)</f>
        <v>66.818181818181813</v>
      </c>
    </row>
    <row r="10" spans="1:3" x14ac:dyDescent="0.35">
      <c r="A10" s="4" t="s">
        <v>10</v>
      </c>
      <c r="B10" s="6">
        <f>AVERAGE(Results!$F$2:$F$56)</f>
        <v>98.63636363636364</v>
      </c>
      <c r="C10" s="6">
        <f>AVERAGE(Results!$N$2:$N$56)</f>
        <v>99.36363636363636</v>
      </c>
    </row>
    <row r="11" spans="1:3" x14ac:dyDescent="0.35">
      <c r="A11" s="4" t="s">
        <v>11</v>
      </c>
      <c r="B11" s="6">
        <f>AVERAGE(Results!$G$2:$G$56)</f>
        <v>6.6</v>
      </c>
      <c r="C11" s="6">
        <f>AVERAGE(Results!$O$2:$O$56)</f>
        <v>6.3272727272727272</v>
      </c>
    </row>
    <row r="12" spans="1:3" x14ac:dyDescent="0.35">
      <c r="A12" s="4" t="s">
        <v>12</v>
      </c>
      <c r="B12" s="6">
        <f>AVERAGE(Results!$H$2:$H$56)</f>
        <v>21.454545454545453</v>
      </c>
      <c r="C12" s="6">
        <f>AVERAGE(Results!$P$2:$P$56)</f>
        <v>98.545454545454547</v>
      </c>
    </row>
    <row r="13" spans="1:3" x14ac:dyDescent="0.35">
      <c r="A13" s="4" t="s">
        <v>13</v>
      </c>
      <c r="B13" s="6">
        <f>AVERAGE(Results!$I$2:$I$56)</f>
        <v>100</v>
      </c>
      <c r="C13" s="6">
        <f>AVERAGE(Results!$Q$2:$Q$56)</f>
        <v>100</v>
      </c>
    </row>
    <row r="14" spans="1:3" x14ac:dyDescent="0.35">
      <c r="A14" s="4" t="s">
        <v>14</v>
      </c>
      <c r="B14" s="6">
        <f>AVERAGE(Results!$D$2:$D$56)</f>
        <v>23.287272727272722</v>
      </c>
      <c r="C14" s="6">
        <f>AVERAGE(Results!$L$2:$L$56)</f>
        <v>15.247272727272728</v>
      </c>
    </row>
    <row r="15" spans="1:3" x14ac:dyDescent="0.35">
      <c r="A15" s="4" t="s">
        <v>15</v>
      </c>
      <c r="B15" s="6">
        <f>MEDIAN(Results!$D$2:$D$56)</f>
        <v>21.3</v>
      </c>
      <c r="C15" s="6">
        <f>MEDIAN(Results!$L$2:$L$56)</f>
        <v>14.6</v>
      </c>
    </row>
    <row r="16" spans="1:3" x14ac:dyDescent="0.35">
      <c r="A16" s="4" t="s">
        <v>16</v>
      </c>
      <c r="B16" s="5">
        <f>AVERAGE(Results!$E$2:$E$56)</f>
        <v>204.18181818181819</v>
      </c>
      <c r="C16" s="5">
        <f>AVERAGE(Results!$M$2:$M$56)</f>
        <v>236.30909090909091</v>
      </c>
    </row>
    <row r="17" spans="1:7" x14ac:dyDescent="0.35">
      <c r="A17" s="4" t="s">
        <v>17</v>
      </c>
      <c r="B17" s="5">
        <f>SUMPRODUCT(--(Results!$D$2:$D$56&lt;Results!$L$2:$L$56))</f>
        <v>1</v>
      </c>
      <c r="C17" s="5">
        <f>SUMPRODUCT(--(Results!$L$2:$L$56&lt;Results!$D$2:$D$56))</f>
        <v>54</v>
      </c>
    </row>
    <row r="19" spans="1:7" x14ac:dyDescent="0.35">
      <c r="A19" s="3" t="s">
        <v>18</v>
      </c>
      <c r="B19" s="3" t="s">
        <v>19</v>
      </c>
      <c r="C19" s="3" t="s">
        <v>20</v>
      </c>
      <c r="D19" s="3" t="s">
        <v>21</v>
      </c>
      <c r="E19" s="3" t="s">
        <v>22</v>
      </c>
      <c r="F19" s="3" t="s">
        <v>23</v>
      </c>
      <c r="G19" s="3" t="s">
        <v>7</v>
      </c>
    </row>
    <row r="20" spans="1:7" x14ac:dyDescent="0.35">
      <c r="A20" s="4" t="s">
        <v>24</v>
      </c>
      <c r="B20" s="7">
        <f>COUNTIF(Results!$B$2:$B$56,$A20)</f>
        <v>5</v>
      </c>
      <c r="C20" s="6">
        <f>AVERAGEIFS(Results!$J$2:$J$56,Results!$B$2:$B$56,$A20)</f>
        <v>54.6</v>
      </c>
      <c r="D20" s="6">
        <f>AVERAGEIFS(Results!$R$2:$R$56,Results!$B$2:$B$56,$A20)</f>
        <v>67</v>
      </c>
      <c r="E20" s="7">
        <f>COUNTIFS(Results!$B$2:$B$56,$A20,Results!$T$2:$T$56,"Copilot")</f>
        <v>0</v>
      </c>
      <c r="F20" s="7">
        <f>COUNTIFS(Results!$B$2:$B$56,$A20,Results!$T$2:$T$56,"Claude")</f>
        <v>5</v>
      </c>
      <c r="G20" s="7">
        <f>COUNTIFS(Results!$B$2:$B$56,$A20,Results!$T$2:$T$56,"Tie")</f>
        <v>0</v>
      </c>
    </row>
    <row r="21" spans="1:7" x14ac:dyDescent="0.35">
      <c r="A21" s="4" t="s">
        <v>25</v>
      </c>
      <c r="B21" s="7">
        <f>COUNTIF(Results!$B$2:$B$56,$A21)</f>
        <v>5</v>
      </c>
      <c r="C21" s="6">
        <f>AVERAGEIFS(Results!$J$2:$J$56,Results!$B$2:$B$56,$A21)</f>
        <v>54.4</v>
      </c>
      <c r="D21" s="6">
        <f>AVERAGEIFS(Results!$R$2:$R$56,Results!$B$2:$B$56,$A21)</f>
        <v>67.400000000000006</v>
      </c>
      <c r="E21" s="7">
        <f>COUNTIFS(Results!$B$2:$B$56,$A21,Results!$T$2:$T$56,"Copilot")</f>
        <v>0</v>
      </c>
      <c r="F21" s="7">
        <f>COUNTIFS(Results!$B$2:$B$56,$A21,Results!$T$2:$T$56,"Claude")</f>
        <v>5</v>
      </c>
      <c r="G21" s="7">
        <f>COUNTIFS(Results!$B$2:$B$56,$A21,Results!$T$2:$T$56,"Tie")</f>
        <v>0</v>
      </c>
    </row>
    <row r="22" spans="1:7" x14ac:dyDescent="0.35">
      <c r="A22" s="4" t="s">
        <v>26</v>
      </c>
      <c r="B22" s="7">
        <f>COUNTIF(Results!$B$2:$B$56,$A22)</f>
        <v>5</v>
      </c>
      <c r="C22" s="6">
        <f>AVERAGEIFS(Results!$J$2:$J$56,Results!$B$2:$B$56,$A22)</f>
        <v>55.8</v>
      </c>
      <c r="D22" s="6">
        <f>AVERAGEIFS(Results!$R$2:$R$56,Results!$B$2:$B$56,$A22)</f>
        <v>68.2</v>
      </c>
      <c r="E22" s="7">
        <f>COUNTIFS(Results!$B$2:$B$56,$A22,Results!$T$2:$T$56,"Copilot")</f>
        <v>0</v>
      </c>
      <c r="F22" s="7">
        <f>COUNTIFS(Results!$B$2:$B$56,$A22,Results!$T$2:$T$56,"Claude")</f>
        <v>5</v>
      </c>
      <c r="G22" s="7">
        <f>COUNTIFS(Results!$B$2:$B$56,$A22,Results!$T$2:$T$56,"Tie")</f>
        <v>0</v>
      </c>
    </row>
    <row r="23" spans="1:7" x14ac:dyDescent="0.35">
      <c r="A23" s="4" t="s">
        <v>27</v>
      </c>
      <c r="B23" s="7">
        <f>COUNTIF(Results!$B$2:$B$56,$A23)</f>
        <v>5</v>
      </c>
      <c r="C23" s="6">
        <f>AVERAGEIFS(Results!$J$2:$J$56,Results!$B$2:$B$56,$A23)</f>
        <v>55.6</v>
      </c>
      <c r="D23" s="6">
        <f>AVERAGEIFS(Results!$R$2:$R$56,Results!$B$2:$B$56,$A23)</f>
        <v>67.400000000000006</v>
      </c>
      <c r="E23" s="7">
        <f>COUNTIFS(Results!$B$2:$B$56,$A23,Results!$T$2:$T$56,"Copilot")</f>
        <v>0</v>
      </c>
      <c r="F23" s="7">
        <f>COUNTIFS(Results!$B$2:$B$56,$A23,Results!$T$2:$T$56,"Claude")</f>
        <v>5</v>
      </c>
      <c r="G23" s="7">
        <f>COUNTIFS(Results!$B$2:$B$56,$A23,Results!$T$2:$T$56,"Tie")</f>
        <v>0</v>
      </c>
    </row>
    <row r="24" spans="1:7" x14ac:dyDescent="0.35">
      <c r="A24" s="4" t="s">
        <v>28</v>
      </c>
      <c r="B24" s="7">
        <f>COUNTIF(Results!$B$2:$B$56,$A24)</f>
        <v>5</v>
      </c>
      <c r="C24" s="6">
        <f>AVERAGEIFS(Results!$J$2:$J$56,Results!$B$2:$B$56,$A24)</f>
        <v>55.6</v>
      </c>
      <c r="D24" s="6">
        <f>AVERAGEIFS(Results!$R$2:$R$56,Results!$B$2:$B$56,$A24)</f>
        <v>67.400000000000006</v>
      </c>
      <c r="E24" s="7">
        <f>COUNTIFS(Results!$B$2:$B$56,$A24,Results!$T$2:$T$56,"Copilot")</f>
        <v>0</v>
      </c>
      <c r="F24" s="7">
        <f>COUNTIFS(Results!$B$2:$B$56,$A24,Results!$T$2:$T$56,"Claude")</f>
        <v>5</v>
      </c>
      <c r="G24" s="7">
        <f>COUNTIFS(Results!$B$2:$B$56,$A24,Results!$T$2:$T$56,"Tie")</f>
        <v>0</v>
      </c>
    </row>
    <row r="25" spans="1:7" x14ac:dyDescent="0.35">
      <c r="A25" s="4" t="s">
        <v>29</v>
      </c>
      <c r="B25" s="7">
        <f>COUNTIF(Results!$B$2:$B$56,$A25)</f>
        <v>5</v>
      </c>
      <c r="C25" s="6">
        <f>AVERAGEIFS(Results!$J$2:$J$56,Results!$B$2:$B$56,$A25)</f>
        <v>56.2</v>
      </c>
      <c r="D25" s="6">
        <f>AVERAGEIFS(Results!$R$2:$R$56,Results!$B$2:$B$56,$A25)</f>
        <v>67.8</v>
      </c>
      <c r="E25" s="7">
        <f>COUNTIFS(Results!$B$2:$B$56,$A25,Results!$T$2:$T$56,"Copilot")</f>
        <v>0</v>
      </c>
      <c r="F25" s="7">
        <f>COUNTIFS(Results!$B$2:$B$56,$A25,Results!$T$2:$T$56,"Claude")</f>
        <v>5</v>
      </c>
      <c r="G25" s="7">
        <f>COUNTIFS(Results!$B$2:$B$56,$A25,Results!$T$2:$T$56,"Tie")</f>
        <v>0</v>
      </c>
    </row>
    <row r="26" spans="1:7" x14ac:dyDescent="0.35">
      <c r="A26" s="4" t="s">
        <v>30</v>
      </c>
      <c r="B26" s="7">
        <f>COUNTIF(Results!$B$2:$B$56,$A26)</f>
        <v>5</v>
      </c>
      <c r="C26" s="6">
        <f>AVERAGEIFS(Results!$J$2:$J$56,Results!$B$2:$B$56,$A26)</f>
        <v>55</v>
      </c>
      <c r="D26" s="6">
        <f>AVERAGEIFS(Results!$R$2:$R$56,Results!$B$2:$B$56,$A26)</f>
        <v>66.8</v>
      </c>
      <c r="E26" s="7">
        <f>COUNTIFS(Results!$B$2:$B$56,$A26,Results!$T$2:$T$56,"Copilot")</f>
        <v>0</v>
      </c>
      <c r="F26" s="7">
        <f>COUNTIFS(Results!$B$2:$B$56,$A26,Results!$T$2:$T$56,"Claude")</f>
        <v>5</v>
      </c>
      <c r="G26" s="7">
        <f>COUNTIFS(Results!$B$2:$B$56,$A26,Results!$T$2:$T$56,"Tie")</f>
        <v>0</v>
      </c>
    </row>
    <row r="27" spans="1:7" x14ac:dyDescent="0.35">
      <c r="A27" s="4" t="s">
        <v>31</v>
      </c>
      <c r="B27" s="7">
        <f>COUNTIF(Results!$B$2:$B$56,$A27)</f>
        <v>5</v>
      </c>
      <c r="C27" s="6">
        <f>AVERAGEIFS(Results!$J$2:$J$56,Results!$B$2:$B$56,$A27)</f>
        <v>53.4</v>
      </c>
      <c r="D27" s="6">
        <f>AVERAGEIFS(Results!$R$2:$R$56,Results!$B$2:$B$56,$A27)</f>
        <v>65.400000000000006</v>
      </c>
      <c r="E27" s="7">
        <f>COUNTIFS(Results!$B$2:$B$56,$A27,Results!$T$2:$T$56,"Copilot")</f>
        <v>0</v>
      </c>
      <c r="F27" s="7">
        <f>COUNTIFS(Results!$B$2:$B$56,$A27,Results!$T$2:$T$56,"Claude")</f>
        <v>5</v>
      </c>
      <c r="G27" s="7">
        <f>COUNTIFS(Results!$B$2:$B$56,$A27,Results!$T$2:$T$56,"Tie")</f>
        <v>0</v>
      </c>
    </row>
    <row r="28" spans="1:7" x14ac:dyDescent="0.35">
      <c r="A28" s="4" t="s">
        <v>32</v>
      </c>
      <c r="B28" s="7">
        <f>COUNTIF(Results!$B$2:$B$56,$A28)</f>
        <v>5</v>
      </c>
      <c r="C28" s="6">
        <f>AVERAGEIFS(Results!$J$2:$J$56,Results!$B$2:$B$56,$A28)</f>
        <v>55.4</v>
      </c>
      <c r="D28" s="6">
        <f>AVERAGEIFS(Results!$R$2:$R$56,Results!$B$2:$B$56,$A28)</f>
        <v>64.599999999999994</v>
      </c>
      <c r="E28" s="7">
        <f>COUNTIFS(Results!$B$2:$B$56,$A28,Results!$T$2:$T$56,"Copilot")</f>
        <v>1</v>
      </c>
      <c r="F28" s="7">
        <f>COUNTIFS(Results!$B$2:$B$56,$A28,Results!$T$2:$T$56,"Claude")</f>
        <v>4</v>
      </c>
      <c r="G28" s="7">
        <f>COUNTIFS(Results!$B$2:$B$56,$A28,Results!$T$2:$T$56,"Tie")</f>
        <v>0</v>
      </c>
    </row>
    <row r="29" spans="1:7" x14ac:dyDescent="0.35">
      <c r="A29" s="4" t="s">
        <v>33</v>
      </c>
      <c r="B29" s="7">
        <f>COUNTIF(Results!$B$2:$B$56,$A29)</f>
        <v>5</v>
      </c>
      <c r="C29" s="6">
        <f>AVERAGEIFS(Results!$J$2:$J$56,Results!$B$2:$B$56,$A29)</f>
        <v>55.6</v>
      </c>
      <c r="D29" s="6">
        <f>AVERAGEIFS(Results!$R$2:$R$56,Results!$B$2:$B$56,$A29)</f>
        <v>67.2</v>
      </c>
      <c r="E29" s="7">
        <f>COUNTIFS(Results!$B$2:$B$56,$A29,Results!$T$2:$T$56,"Copilot")</f>
        <v>0</v>
      </c>
      <c r="F29" s="7">
        <f>COUNTIFS(Results!$B$2:$B$56,$A29,Results!$T$2:$T$56,"Claude")</f>
        <v>5</v>
      </c>
      <c r="G29" s="7">
        <f>COUNTIFS(Results!$B$2:$B$56,$A29,Results!$T$2:$T$56,"Tie")</f>
        <v>0</v>
      </c>
    </row>
    <row r="30" spans="1:7" x14ac:dyDescent="0.35">
      <c r="A30" s="4" t="s">
        <v>34</v>
      </c>
      <c r="B30" s="7">
        <f>COUNTIF(Results!$B$2:$B$56,$A30)</f>
        <v>5</v>
      </c>
      <c r="C30" s="6">
        <f>AVERAGEIFS(Results!$J$2:$J$56,Results!$B$2:$B$56,$A30)</f>
        <v>54.4</v>
      </c>
      <c r="D30" s="6">
        <f>AVERAGEIFS(Results!$R$2:$R$56,Results!$B$2:$B$56,$A30)</f>
        <v>65.8</v>
      </c>
      <c r="E30" s="7">
        <f>COUNTIFS(Results!$B$2:$B$56,$A30,Results!$T$2:$T$56,"Copilot")</f>
        <v>0</v>
      </c>
      <c r="F30" s="7">
        <f>COUNTIFS(Results!$B$2:$B$56,$A30,Results!$T$2:$T$56,"Claude")</f>
        <v>5</v>
      </c>
      <c r="G30" s="7">
        <f>COUNTIFS(Results!$B$2:$B$56,$A30,Results!$T$2:$T$56,"Tie")</f>
        <v>0</v>
      </c>
    </row>
    <row r="32" spans="1:7" x14ac:dyDescent="0.35">
      <c r="A32" s="8" t="s">
        <v>35</v>
      </c>
    </row>
    <row r="33" spans="1:1" x14ac:dyDescent="0.35">
      <c r="A33" s="9" t="s">
        <v>36</v>
      </c>
    </row>
    <row r="34" spans="1:1" x14ac:dyDescent="0.35">
      <c r="A34" s="9" t="s">
        <v>37</v>
      </c>
    </row>
    <row r="35" spans="1:1" x14ac:dyDescent="0.35">
      <c r="A35" s="9" t="s">
        <v>38</v>
      </c>
    </row>
    <row r="36" spans="1:1" x14ac:dyDescent="0.35">
      <c r="A36" s="9"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6"/>
  <sheetViews>
    <sheetView workbookViewId="0">
      <pane xSplit="3" ySplit="1" topLeftCell="D2" activePane="bottomRight" state="frozen"/>
      <selection pane="topRight"/>
      <selection pane="bottomLeft"/>
      <selection pane="bottomRight"/>
    </sheetView>
  </sheetViews>
  <sheetFormatPr defaultRowHeight="14.5" x14ac:dyDescent="0.35"/>
  <cols>
    <col min="1" max="1" width="4" customWidth="1"/>
    <col min="2" max="2" width="16" customWidth="1"/>
    <col min="3" max="3" width="48" customWidth="1"/>
    <col min="4" max="19" width="9" customWidth="1"/>
    <col min="20" max="20" width="10" customWidth="1"/>
    <col min="21" max="22" width="70" customWidth="1"/>
  </cols>
  <sheetData>
    <row r="1" spans="1:22" ht="42" customHeight="1" x14ac:dyDescent="0.35">
      <c r="A1" s="3" t="s">
        <v>40</v>
      </c>
      <c r="B1" s="3" t="s">
        <v>18</v>
      </c>
      <c r="C1" s="3" t="s">
        <v>41</v>
      </c>
      <c r="D1" s="10" t="s">
        <v>42</v>
      </c>
      <c r="E1" s="10" t="s">
        <v>43</v>
      </c>
      <c r="F1" s="10" t="s">
        <v>44</v>
      </c>
      <c r="G1" s="10" t="s">
        <v>45</v>
      </c>
      <c r="H1" s="10" t="s">
        <v>46</v>
      </c>
      <c r="I1" s="10" t="s">
        <v>47</v>
      </c>
      <c r="J1" s="10" t="s">
        <v>48</v>
      </c>
      <c r="K1" s="10" t="s">
        <v>49</v>
      </c>
      <c r="L1" s="11" t="s">
        <v>50</v>
      </c>
      <c r="M1" s="11" t="s">
        <v>51</v>
      </c>
      <c r="N1" s="11" t="s">
        <v>52</v>
      </c>
      <c r="O1" s="11" t="s">
        <v>53</v>
      </c>
      <c r="P1" s="11" t="s">
        <v>54</v>
      </c>
      <c r="Q1" s="11" t="s">
        <v>55</v>
      </c>
      <c r="R1" s="11" t="s">
        <v>56</v>
      </c>
      <c r="S1" s="11" t="s">
        <v>57</v>
      </c>
      <c r="T1" s="3" t="s">
        <v>58</v>
      </c>
      <c r="U1" s="10" t="s">
        <v>59</v>
      </c>
      <c r="V1" s="11" t="s">
        <v>60</v>
      </c>
    </row>
    <row r="2" spans="1:22" ht="90" customHeight="1" x14ac:dyDescent="0.35">
      <c r="A2" s="12">
        <v>1</v>
      </c>
      <c r="B2" s="12" t="s">
        <v>24</v>
      </c>
      <c r="C2" s="13" t="s">
        <v>61</v>
      </c>
      <c r="D2" s="12">
        <v>28.1</v>
      </c>
      <c r="E2" s="12">
        <v>242</v>
      </c>
      <c r="F2" s="12">
        <v>100</v>
      </c>
      <c r="G2" s="12">
        <v>9</v>
      </c>
      <c r="H2" s="12">
        <v>20</v>
      </c>
      <c r="I2" s="12">
        <v>100</v>
      </c>
      <c r="J2" s="12">
        <v>56</v>
      </c>
      <c r="K2" s="12" t="s">
        <v>62</v>
      </c>
      <c r="L2" s="12">
        <v>19.8</v>
      </c>
      <c r="M2" s="12">
        <v>235</v>
      </c>
      <c r="N2" s="12">
        <v>100</v>
      </c>
      <c r="O2" s="12">
        <v>7</v>
      </c>
      <c r="P2" s="12">
        <v>100</v>
      </c>
      <c r="Q2" s="12">
        <v>100</v>
      </c>
      <c r="R2" s="12">
        <v>68</v>
      </c>
      <c r="S2" s="12" t="s">
        <v>62</v>
      </c>
      <c r="T2" s="12" t="str">
        <f t="shared" ref="T2:T33" si="0">IF(ABS(J2-R2)&lt;=3,"Tie",IF(J2&gt;R2,"Copilot","Claude"))</f>
        <v>Claude</v>
      </c>
      <c r="U2" s="13" t="s">
        <v>63</v>
      </c>
      <c r="V2" s="13" t="s">
        <v>64</v>
      </c>
    </row>
    <row r="3" spans="1:22" ht="90" customHeight="1" x14ac:dyDescent="0.35">
      <c r="A3" s="12">
        <v>2</v>
      </c>
      <c r="B3" s="12" t="s">
        <v>24</v>
      </c>
      <c r="C3" s="13" t="s">
        <v>65</v>
      </c>
      <c r="D3" s="12">
        <v>35.200000000000003</v>
      </c>
      <c r="E3" s="12">
        <v>256</v>
      </c>
      <c r="F3" s="12">
        <v>100</v>
      </c>
      <c r="G3" s="12">
        <v>7</v>
      </c>
      <c r="H3" s="12">
        <v>20</v>
      </c>
      <c r="I3" s="12">
        <v>100</v>
      </c>
      <c r="J3" s="12">
        <v>55</v>
      </c>
      <c r="K3" s="12" t="s">
        <v>62</v>
      </c>
      <c r="L3" s="12">
        <v>15.1</v>
      </c>
      <c r="M3" s="12">
        <v>252</v>
      </c>
      <c r="N3" s="12">
        <v>100</v>
      </c>
      <c r="O3" s="12">
        <v>7</v>
      </c>
      <c r="P3" s="12">
        <v>100</v>
      </c>
      <c r="Q3" s="12">
        <v>100</v>
      </c>
      <c r="R3" s="12">
        <v>67</v>
      </c>
      <c r="S3" s="12" t="s">
        <v>62</v>
      </c>
      <c r="T3" s="12" t="str">
        <f t="shared" si="0"/>
        <v>Claude</v>
      </c>
      <c r="U3" s="13" t="s">
        <v>66</v>
      </c>
      <c r="V3" s="13" t="s">
        <v>67</v>
      </c>
    </row>
    <row r="4" spans="1:22" ht="90" customHeight="1" x14ac:dyDescent="0.35">
      <c r="A4" s="12">
        <v>3</v>
      </c>
      <c r="B4" s="12" t="s">
        <v>24</v>
      </c>
      <c r="C4" s="13" t="s">
        <v>68</v>
      </c>
      <c r="D4" s="12">
        <v>33.9</v>
      </c>
      <c r="E4" s="12">
        <v>317</v>
      </c>
      <c r="F4" s="12">
        <v>100</v>
      </c>
      <c r="G4" s="12">
        <v>2</v>
      </c>
      <c r="H4" s="12">
        <v>20</v>
      </c>
      <c r="I4" s="12">
        <v>100</v>
      </c>
      <c r="J4" s="12">
        <v>54</v>
      </c>
      <c r="K4" s="12" t="s">
        <v>62</v>
      </c>
      <c r="L4" s="12">
        <v>21.1</v>
      </c>
      <c r="M4" s="12">
        <v>299</v>
      </c>
      <c r="N4" s="12">
        <v>100</v>
      </c>
      <c r="O4" s="12">
        <v>4</v>
      </c>
      <c r="P4" s="12">
        <v>100</v>
      </c>
      <c r="Q4" s="12">
        <v>100</v>
      </c>
      <c r="R4" s="12">
        <v>66</v>
      </c>
      <c r="S4" s="12" t="s">
        <v>62</v>
      </c>
      <c r="T4" s="12" t="str">
        <f t="shared" si="0"/>
        <v>Claude</v>
      </c>
      <c r="U4" s="13" t="s">
        <v>69</v>
      </c>
      <c r="V4" s="13" t="s">
        <v>70</v>
      </c>
    </row>
    <row r="5" spans="1:22" ht="90" customHeight="1" x14ac:dyDescent="0.35">
      <c r="A5" s="12">
        <v>4</v>
      </c>
      <c r="B5" s="12" t="s">
        <v>24</v>
      </c>
      <c r="C5" s="13" t="s">
        <v>71</v>
      </c>
      <c r="D5" s="12">
        <v>19.2</v>
      </c>
      <c r="E5" s="12">
        <v>120</v>
      </c>
      <c r="F5" s="12">
        <v>100</v>
      </c>
      <c r="G5" s="12">
        <v>4</v>
      </c>
      <c r="H5" s="12">
        <v>20</v>
      </c>
      <c r="I5" s="12">
        <v>100</v>
      </c>
      <c r="J5" s="12">
        <v>54</v>
      </c>
      <c r="K5" s="12" t="s">
        <v>62</v>
      </c>
      <c r="L5" s="12">
        <v>17.399999999999999</v>
      </c>
      <c r="M5" s="12">
        <v>272</v>
      </c>
      <c r="N5" s="12">
        <v>100</v>
      </c>
      <c r="O5" s="12">
        <v>8</v>
      </c>
      <c r="P5" s="12">
        <v>100</v>
      </c>
      <c r="Q5" s="12">
        <v>100</v>
      </c>
      <c r="R5" s="12">
        <v>68</v>
      </c>
      <c r="S5" s="12" t="s">
        <v>62</v>
      </c>
      <c r="T5" s="12" t="str">
        <f t="shared" si="0"/>
        <v>Claude</v>
      </c>
      <c r="U5" s="13" t="s">
        <v>72</v>
      </c>
      <c r="V5" s="13" t="s">
        <v>73</v>
      </c>
    </row>
    <row r="6" spans="1:22" ht="90" customHeight="1" x14ac:dyDescent="0.35">
      <c r="A6" s="12">
        <v>5</v>
      </c>
      <c r="B6" s="12" t="s">
        <v>24</v>
      </c>
      <c r="C6" s="13" t="s">
        <v>74</v>
      </c>
      <c r="D6" s="12">
        <v>19.3</v>
      </c>
      <c r="E6" s="12">
        <v>215</v>
      </c>
      <c r="F6" s="12">
        <v>100</v>
      </c>
      <c r="G6" s="12">
        <v>4</v>
      </c>
      <c r="H6" s="12">
        <v>20</v>
      </c>
      <c r="I6" s="12">
        <v>100</v>
      </c>
      <c r="J6" s="12">
        <v>54</v>
      </c>
      <c r="K6" s="12" t="s">
        <v>62</v>
      </c>
      <c r="L6" s="12">
        <v>17.399999999999999</v>
      </c>
      <c r="M6" s="12">
        <v>260</v>
      </c>
      <c r="N6" s="12">
        <v>100</v>
      </c>
      <c r="O6" s="12">
        <v>2</v>
      </c>
      <c r="P6" s="12">
        <v>100</v>
      </c>
      <c r="Q6" s="12">
        <v>100</v>
      </c>
      <c r="R6" s="12">
        <v>66</v>
      </c>
      <c r="S6" s="12" t="s">
        <v>62</v>
      </c>
      <c r="T6" s="12" t="str">
        <f t="shared" si="0"/>
        <v>Claude</v>
      </c>
      <c r="U6" s="13" t="s">
        <v>75</v>
      </c>
      <c r="V6" s="13" t="s">
        <v>76</v>
      </c>
    </row>
    <row r="7" spans="1:22" ht="90" customHeight="1" x14ac:dyDescent="0.35">
      <c r="A7" s="12">
        <v>6</v>
      </c>
      <c r="B7" s="12" t="s">
        <v>25</v>
      </c>
      <c r="C7" s="13" t="s">
        <v>77</v>
      </c>
      <c r="D7" s="12">
        <v>23.7</v>
      </c>
      <c r="E7" s="12">
        <v>166</v>
      </c>
      <c r="F7" s="12">
        <v>100</v>
      </c>
      <c r="G7" s="12">
        <v>5</v>
      </c>
      <c r="H7" s="12">
        <v>20</v>
      </c>
      <c r="I7" s="12">
        <v>100</v>
      </c>
      <c r="J7" s="12">
        <v>55</v>
      </c>
      <c r="K7" s="12" t="s">
        <v>62</v>
      </c>
      <c r="L7" s="12">
        <v>13</v>
      </c>
      <c r="M7" s="12">
        <v>189</v>
      </c>
      <c r="N7" s="12">
        <v>100</v>
      </c>
      <c r="O7" s="12">
        <v>6</v>
      </c>
      <c r="P7" s="12">
        <v>100</v>
      </c>
      <c r="Q7" s="12">
        <v>100</v>
      </c>
      <c r="R7" s="12">
        <v>67</v>
      </c>
      <c r="S7" s="12" t="s">
        <v>62</v>
      </c>
      <c r="T7" s="12" t="str">
        <f t="shared" si="0"/>
        <v>Claude</v>
      </c>
      <c r="U7" s="13" t="s">
        <v>78</v>
      </c>
      <c r="V7" s="13" t="s">
        <v>79</v>
      </c>
    </row>
    <row r="8" spans="1:22" ht="90" customHeight="1" x14ac:dyDescent="0.35">
      <c r="A8" s="12">
        <v>7</v>
      </c>
      <c r="B8" s="12" t="s">
        <v>25</v>
      </c>
      <c r="C8" s="13" t="s">
        <v>80</v>
      </c>
      <c r="D8" s="12">
        <v>18.5</v>
      </c>
      <c r="E8" s="12">
        <v>103</v>
      </c>
      <c r="F8" s="12">
        <v>100</v>
      </c>
      <c r="G8" s="12">
        <v>6</v>
      </c>
      <c r="H8" s="12">
        <v>20</v>
      </c>
      <c r="I8" s="12">
        <v>100</v>
      </c>
      <c r="J8" s="12">
        <v>55</v>
      </c>
      <c r="K8" s="12" t="s">
        <v>62</v>
      </c>
      <c r="L8" s="12">
        <v>13</v>
      </c>
      <c r="M8" s="12">
        <v>235</v>
      </c>
      <c r="N8" s="12">
        <v>100</v>
      </c>
      <c r="O8" s="12">
        <v>7</v>
      </c>
      <c r="P8" s="12">
        <v>100</v>
      </c>
      <c r="Q8" s="12">
        <v>100</v>
      </c>
      <c r="R8" s="12">
        <v>68</v>
      </c>
      <c r="S8" s="12" t="s">
        <v>62</v>
      </c>
      <c r="T8" s="12" t="str">
        <f t="shared" si="0"/>
        <v>Claude</v>
      </c>
      <c r="U8" s="13" t="s">
        <v>81</v>
      </c>
      <c r="V8" s="13" t="s">
        <v>82</v>
      </c>
    </row>
    <row r="9" spans="1:22" ht="90" customHeight="1" x14ac:dyDescent="0.35">
      <c r="A9" s="12">
        <v>8</v>
      </c>
      <c r="B9" s="12" t="s">
        <v>25</v>
      </c>
      <c r="C9" s="13" t="s">
        <v>83</v>
      </c>
      <c r="D9" s="12">
        <v>25.1</v>
      </c>
      <c r="E9" s="12">
        <v>190</v>
      </c>
      <c r="F9" s="12">
        <v>85</v>
      </c>
      <c r="G9" s="12">
        <v>7</v>
      </c>
      <c r="H9" s="12">
        <v>20</v>
      </c>
      <c r="I9" s="12">
        <v>100</v>
      </c>
      <c r="J9" s="12">
        <v>51</v>
      </c>
      <c r="K9" s="12" t="s">
        <v>62</v>
      </c>
      <c r="L9" s="12">
        <v>12.4</v>
      </c>
      <c r="M9" s="12">
        <v>181</v>
      </c>
      <c r="N9" s="12">
        <v>100</v>
      </c>
      <c r="O9" s="12">
        <v>5</v>
      </c>
      <c r="P9" s="12">
        <v>100</v>
      </c>
      <c r="Q9" s="12">
        <v>100</v>
      </c>
      <c r="R9" s="12">
        <v>67</v>
      </c>
      <c r="S9" s="12" t="s">
        <v>62</v>
      </c>
      <c r="T9" s="12" t="str">
        <f t="shared" si="0"/>
        <v>Claude</v>
      </c>
      <c r="U9" s="13" t="s">
        <v>84</v>
      </c>
      <c r="V9" s="13" t="s">
        <v>85</v>
      </c>
    </row>
    <row r="10" spans="1:22" ht="90" customHeight="1" x14ac:dyDescent="0.35">
      <c r="A10" s="12">
        <v>9</v>
      </c>
      <c r="B10" s="12" t="s">
        <v>25</v>
      </c>
      <c r="C10" s="13" t="s">
        <v>86</v>
      </c>
      <c r="D10" s="12">
        <v>28.9</v>
      </c>
      <c r="E10" s="12">
        <v>234</v>
      </c>
      <c r="F10" s="12">
        <v>100</v>
      </c>
      <c r="G10" s="12">
        <v>8</v>
      </c>
      <c r="H10" s="12">
        <v>20</v>
      </c>
      <c r="I10" s="12">
        <v>100</v>
      </c>
      <c r="J10" s="12">
        <v>56</v>
      </c>
      <c r="K10" s="12" t="s">
        <v>62</v>
      </c>
      <c r="L10" s="12">
        <v>16.100000000000001</v>
      </c>
      <c r="M10" s="12">
        <v>248</v>
      </c>
      <c r="N10" s="12">
        <v>100</v>
      </c>
      <c r="O10" s="12">
        <v>7</v>
      </c>
      <c r="P10" s="12">
        <v>100</v>
      </c>
      <c r="Q10" s="12">
        <v>100</v>
      </c>
      <c r="R10" s="12">
        <v>68</v>
      </c>
      <c r="S10" s="12" t="s">
        <v>62</v>
      </c>
      <c r="T10" s="12" t="str">
        <f t="shared" si="0"/>
        <v>Claude</v>
      </c>
      <c r="U10" s="13" t="s">
        <v>87</v>
      </c>
      <c r="V10" s="13" t="s">
        <v>88</v>
      </c>
    </row>
    <row r="11" spans="1:22" ht="90" customHeight="1" x14ac:dyDescent="0.35">
      <c r="A11" s="12">
        <v>10</v>
      </c>
      <c r="B11" s="12" t="s">
        <v>25</v>
      </c>
      <c r="C11" s="13" t="s">
        <v>89</v>
      </c>
      <c r="D11" s="12">
        <v>32.799999999999997</v>
      </c>
      <c r="E11" s="12">
        <v>176</v>
      </c>
      <c r="F11" s="12">
        <v>100</v>
      </c>
      <c r="G11" s="12">
        <v>6</v>
      </c>
      <c r="H11" s="12">
        <v>20</v>
      </c>
      <c r="I11" s="12">
        <v>100</v>
      </c>
      <c r="J11" s="12">
        <v>55</v>
      </c>
      <c r="K11" s="12" t="s">
        <v>62</v>
      </c>
      <c r="L11" s="12">
        <v>14.6</v>
      </c>
      <c r="M11" s="12">
        <v>191</v>
      </c>
      <c r="N11" s="12">
        <v>100</v>
      </c>
      <c r="O11" s="12">
        <v>7</v>
      </c>
      <c r="P11" s="12">
        <v>100</v>
      </c>
      <c r="Q11" s="12">
        <v>100</v>
      </c>
      <c r="R11" s="12">
        <v>67</v>
      </c>
      <c r="S11" s="12" t="s">
        <v>62</v>
      </c>
      <c r="T11" s="12" t="str">
        <f t="shared" si="0"/>
        <v>Claude</v>
      </c>
      <c r="U11" s="13" t="s">
        <v>90</v>
      </c>
      <c r="V11" s="13" t="s">
        <v>91</v>
      </c>
    </row>
    <row r="12" spans="1:22" ht="90" customHeight="1" x14ac:dyDescent="0.35">
      <c r="A12" s="12">
        <v>11</v>
      </c>
      <c r="B12" s="12" t="s">
        <v>26</v>
      </c>
      <c r="C12" s="13" t="s">
        <v>92</v>
      </c>
      <c r="D12" s="12">
        <v>21.9</v>
      </c>
      <c r="E12" s="12">
        <v>178</v>
      </c>
      <c r="F12" s="12">
        <v>100</v>
      </c>
      <c r="G12" s="12">
        <v>6</v>
      </c>
      <c r="H12" s="12">
        <v>20</v>
      </c>
      <c r="I12" s="12">
        <v>100</v>
      </c>
      <c r="J12" s="12">
        <v>55</v>
      </c>
      <c r="K12" s="12" t="s">
        <v>62</v>
      </c>
      <c r="L12" s="12">
        <v>14.8</v>
      </c>
      <c r="M12" s="12">
        <v>218</v>
      </c>
      <c r="N12" s="12">
        <v>100</v>
      </c>
      <c r="O12" s="12">
        <v>6</v>
      </c>
      <c r="P12" s="12">
        <v>100</v>
      </c>
      <c r="Q12" s="12">
        <v>100</v>
      </c>
      <c r="R12" s="12">
        <v>67</v>
      </c>
      <c r="S12" s="12" t="s">
        <v>62</v>
      </c>
      <c r="T12" s="12" t="str">
        <f t="shared" si="0"/>
        <v>Claude</v>
      </c>
      <c r="U12" s="13" t="s">
        <v>93</v>
      </c>
      <c r="V12" s="13" t="s">
        <v>94</v>
      </c>
    </row>
    <row r="13" spans="1:22" ht="90" customHeight="1" x14ac:dyDescent="0.35">
      <c r="A13" s="12">
        <v>12</v>
      </c>
      <c r="B13" s="12" t="s">
        <v>26</v>
      </c>
      <c r="C13" s="13" t="s">
        <v>95</v>
      </c>
      <c r="D13" s="12">
        <v>31.7</v>
      </c>
      <c r="E13" s="12">
        <v>83</v>
      </c>
      <c r="F13" s="12">
        <v>100</v>
      </c>
      <c r="G13" s="12">
        <v>6</v>
      </c>
      <c r="H13" s="12">
        <v>20</v>
      </c>
      <c r="I13" s="12">
        <v>100</v>
      </c>
      <c r="J13" s="12">
        <v>55</v>
      </c>
      <c r="K13" s="12" t="s">
        <v>62</v>
      </c>
      <c r="L13" s="12">
        <v>14.2</v>
      </c>
      <c r="M13" s="12">
        <v>226</v>
      </c>
      <c r="N13" s="12">
        <v>100</v>
      </c>
      <c r="O13" s="12">
        <v>8</v>
      </c>
      <c r="P13" s="12">
        <v>100</v>
      </c>
      <c r="Q13" s="12">
        <v>100</v>
      </c>
      <c r="R13" s="12">
        <v>68</v>
      </c>
      <c r="S13" s="12" t="s">
        <v>62</v>
      </c>
      <c r="T13" s="12" t="str">
        <f t="shared" si="0"/>
        <v>Claude</v>
      </c>
      <c r="U13" s="13" t="s">
        <v>96</v>
      </c>
      <c r="V13" s="13" t="s">
        <v>97</v>
      </c>
    </row>
    <row r="14" spans="1:22" ht="90" customHeight="1" x14ac:dyDescent="0.35">
      <c r="A14" s="12">
        <v>13</v>
      </c>
      <c r="B14" s="12" t="s">
        <v>26</v>
      </c>
      <c r="C14" s="13" t="s">
        <v>98</v>
      </c>
      <c r="D14" s="12">
        <v>32.1</v>
      </c>
      <c r="E14" s="12">
        <v>282</v>
      </c>
      <c r="F14" s="12">
        <v>100</v>
      </c>
      <c r="G14" s="12">
        <v>3</v>
      </c>
      <c r="H14" s="12">
        <v>20</v>
      </c>
      <c r="I14" s="12">
        <v>100</v>
      </c>
      <c r="J14" s="12">
        <v>54</v>
      </c>
      <c r="K14" s="12" t="s">
        <v>62</v>
      </c>
      <c r="L14" s="12">
        <v>14.6</v>
      </c>
      <c r="M14" s="12">
        <v>241</v>
      </c>
      <c r="N14" s="12">
        <v>100</v>
      </c>
      <c r="O14" s="12">
        <v>8</v>
      </c>
      <c r="P14" s="12">
        <v>100</v>
      </c>
      <c r="Q14" s="12">
        <v>100</v>
      </c>
      <c r="R14" s="12">
        <v>68</v>
      </c>
      <c r="S14" s="12" t="s">
        <v>62</v>
      </c>
      <c r="T14" s="12" t="str">
        <f t="shared" si="0"/>
        <v>Claude</v>
      </c>
      <c r="U14" s="13" t="s">
        <v>99</v>
      </c>
      <c r="V14" s="13" t="s">
        <v>100</v>
      </c>
    </row>
    <row r="15" spans="1:22" ht="90" customHeight="1" x14ac:dyDescent="0.35">
      <c r="A15" s="12">
        <v>14</v>
      </c>
      <c r="B15" s="12" t="s">
        <v>26</v>
      </c>
      <c r="C15" s="13" t="s">
        <v>101</v>
      </c>
      <c r="D15" s="12">
        <v>17.3</v>
      </c>
      <c r="E15" s="12">
        <v>240</v>
      </c>
      <c r="F15" s="12">
        <v>100</v>
      </c>
      <c r="G15" s="12">
        <v>18</v>
      </c>
      <c r="H15" s="12">
        <v>20</v>
      </c>
      <c r="I15" s="12">
        <v>100</v>
      </c>
      <c r="J15" s="12">
        <v>59</v>
      </c>
      <c r="K15" s="12" t="s">
        <v>62</v>
      </c>
      <c r="L15" s="12">
        <v>16.100000000000001</v>
      </c>
      <c r="M15" s="12">
        <v>257</v>
      </c>
      <c r="N15" s="12">
        <v>100</v>
      </c>
      <c r="O15" s="12">
        <v>15</v>
      </c>
      <c r="P15" s="12">
        <v>100</v>
      </c>
      <c r="Q15" s="12">
        <v>100</v>
      </c>
      <c r="R15" s="12">
        <v>70</v>
      </c>
      <c r="S15" s="12" t="s">
        <v>62</v>
      </c>
      <c r="T15" s="12" t="str">
        <f t="shared" si="0"/>
        <v>Claude</v>
      </c>
      <c r="U15" s="13" t="s">
        <v>102</v>
      </c>
      <c r="V15" s="13" t="s">
        <v>103</v>
      </c>
    </row>
    <row r="16" spans="1:22" ht="90" customHeight="1" x14ac:dyDescent="0.35">
      <c r="A16" s="12">
        <v>15</v>
      </c>
      <c r="B16" s="12" t="s">
        <v>26</v>
      </c>
      <c r="C16" s="13" t="s">
        <v>104</v>
      </c>
      <c r="D16" s="12">
        <v>28.3</v>
      </c>
      <c r="E16" s="12">
        <v>242</v>
      </c>
      <c r="F16" s="12">
        <v>100</v>
      </c>
      <c r="G16" s="12">
        <v>7</v>
      </c>
      <c r="H16" s="12">
        <v>20</v>
      </c>
      <c r="I16" s="12">
        <v>100</v>
      </c>
      <c r="J16" s="12">
        <v>56</v>
      </c>
      <c r="K16" s="12" t="s">
        <v>62</v>
      </c>
      <c r="L16" s="12">
        <v>14.4</v>
      </c>
      <c r="M16" s="12">
        <v>249</v>
      </c>
      <c r="N16" s="12">
        <v>100</v>
      </c>
      <c r="O16" s="12">
        <v>8</v>
      </c>
      <c r="P16" s="12">
        <v>100</v>
      </c>
      <c r="Q16" s="12">
        <v>100</v>
      </c>
      <c r="R16" s="12">
        <v>68</v>
      </c>
      <c r="S16" s="12" t="s">
        <v>62</v>
      </c>
      <c r="T16" s="12" t="str">
        <f t="shared" si="0"/>
        <v>Claude</v>
      </c>
      <c r="U16" s="13" t="s">
        <v>105</v>
      </c>
      <c r="V16" s="13" t="s">
        <v>106</v>
      </c>
    </row>
    <row r="17" spans="1:22" ht="90" customHeight="1" x14ac:dyDescent="0.35">
      <c r="A17" s="12">
        <v>16</v>
      </c>
      <c r="B17" s="12" t="s">
        <v>27</v>
      </c>
      <c r="C17" s="13" t="s">
        <v>107</v>
      </c>
      <c r="D17" s="12">
        <v>27.1</v>
      </c>
      <c r="E17" s="12">
        <v>132</v>
      </c>
      <c r="F17" s="12">
        <v>100</v>
      </c>
      <c r="G17" s="12">
        <v>8</v>
      </c>
      <c r="H17" s="12">
        <v>20</v>
      </c>
      <c r="I17" s="12">
        <v>100</v>
      </c>
      <c r="J17" s="12">
        <v>56</v>
      </c>
      <c r="K17" s="12" t="s">
        <v>62</v>
      </c>
      <c r="L17" s="12">
        <v>12.9</v>
      </c>
      <c r="M17" s="12">
        <v>216</v>
      </c>
      <c r="N17" s="12">
        <v>100</v>
      </c>
      <c r="O17" s="12">
        <v>7</v>
      </c>
      <c r="P17" s="12">
        <v>100</v>
      </c>
      <c r="Q17" s="12">
        <v>100</v>
      </c>
      <c r="R17" s="12">
        <v>67</v>
      </c>
      <c r="S17" s="12" t="s">
        <v>62</v>
      </c>
      <c r="T17" s="12" t="str">
        <f t="shared" si="0"/>
        <v>Claude</v>
      </c>
      <c r="U17" s="13" t="s">
        <v>108</v>
      </c>
      <c r="V17" s="13" t="s">
        <v>109</v>
      </c>
    </row>
    <row r="18" spans="1:22" ht="90" customHeight="1" x14ac:dyDescent="0.35">
      <c r="A18" s="12">
        <v>17</v>
      </c>
      <c r="B18" s="12" t="s">
        <v>27</v>
      </c>
      <c r="C18" s="13" t="s">
        <v>110</v>
      </c>
      <c r="D18" s="12">
        <v>39.9</v>
      </c>
      <c r="E18" s="12">
        <v>148</v>
      </c>
      <c r="F18" s="12">
        <v>100</v>
      </c>
      <c r="G18" s="12">
        <v>9</v>
      </c>
      <c r="H18" s="12">
        <v>20</v>
      </c>
      <c r="I18" s="12">
        <v>100</v>
      </c>
      <c r="J18" s="12">
        <v>56</v>
      </c>
      <c r="K18" s="12" t="s">
        <v>62</v>
      </c>
      <c r="L18" s="12">
        <v>13.6</v>
      </c>
      <c r="M18" s="12">
        <v>215</v>
      </c>
      <c r="N18" s="12">
        <v>100</v>
      </c>
      <c r="O18" s="12">
        <v>10</v>
      </c>
      <c r="P18" s="12">
        <v>100</v>
      </c>
      <c r="Q18" s="12">
        <v>100</v>
      </c>
      <c r="R18" s="12">
        <v>68</v>
      </c>
      <c r="S18" s="12" t="s">
        <v>62</v>
      </c>
      <c r="T18" s="12" t="str">
        <f t="shared" si="0"/>
        <v>Claude</v>
      </c>
      <c r="U18" s="13" t="s">
        <v>111</v>
      </c>
      <c r="V18" s="13" t="s">
        <v>112</v>
      </c>
    </row>
    <row r="19" spans="1:22" ht="90" customHeight="1" x14ac:dyDescent="0.35">
      <c r="A19" s="12">
        <v>18</v>
      </c>
      <c r="B19" s="12" t="s">
        <v>27</v>
      </c>
      <c r="C19" s="13" t="s">
        <v>113</v>
      </c>
      <c r="D19" s="12">
        <v>30.5</v>
      </c>
      <c r="E19" s="12">
        <v>358</v>
      </c>
      <c r="F19" s="12">
        <v>100</v>
      </c>
      <c r="G19" s="12">
        <v>2</v>
      </c>
      <c r="H19" s="12">
        <v>20</v>
      </c>
      <c r="I19" s="12">
        <v>100</v>
      </c>
      <c r="J19" s="12">
        <v>54</v>
      </c>
      <c r="K19" s="12" t="s">
        <v>62</v>
      </c>
      <c r="L19" s="12">
        <v>16.2</v>
      </c>
      <c r="M19" s="12">
        <v>237</v>
      </c>
      <c r="N19" s="12">
        <v>100</v>
      </c>
      <c r="O19" s="12">
        <v>3</v>
      </c>
      <c r="P19" s="12">
        <v>100</v>
      </c>
      <c r="Q19" s="12">
        <v>100</v>
      </c>
      <c r="R19" s="12">
        <v>66</v>
      </c>
      <c r="S19" s="12" t="s">
        <v>62</v>
      </c>
      <c r="T19" s="12" t="str">
        <f t="shared" si="0"/>
        <v>Claude</v>
      </c>
      <c r="U19" s="13" t="s">
        <v>114</v>
      </c>
      <c r="V19" s="13" t="s">
        <v>115</v>
      </c>
    </row>
    <row r="20" spans="1:22" ht="90" customHeight="1" x14ac:dyDescent="0.35">
      <c r="A20" s="12">
        <v>19</v>
      </c>
      <c r="B20" s="12" t="s">
        <v>27</v>
      </c>
      <c r="C20" s="13" t="s">
        <v>116</v>
      </c>
      <c r="D20" s="12">
        <v>33.1</v>
      </c>
      <c r="E20" s="12">
        <v>150</v>
      </c>
      <c r="F20" s="12">
        <v>100</v>
      </c>
      <c r="G20" s="12">
        <v>10</v>
      </c>
      <c r="H20" s="12">
        <v>20</v>
      </c>
      <c r="I20" s="12">
        <v>100</v>
      </c>
      <c r="J20" s="12">
        <v>57</v>
      </c>
      <c r="K20" s="12" t="s">
        <v>62</v>
      </c>
      <c r="L20" s="12">
        <v>11.9</v>
      </c>
      <c r="M20" s="12">
        <v>198</v>
      </c>
      <c r="N20" s="12">
        <v>100</v>
      </c>
      <c r="O20" s="12">
        <v>9</v>
      </c>
      <c r="P20" s="12">
        <v>100</v>
      </c>
      <c r="Q20" s="12">
        <v>100</v>
      </c>
      <c r="R20" s="12">
        <v>68</v>
      </c>
      <c r="S20" s="12" t="s">
        <v>62</v>
      </c>
      <c r="T20" s="12" t="str">
        <f t="shared" si="0"/>
        <v>Claude</v>
      </c>
      <c r="U20" s="13" t="s">
        <v>117</v>
      </c>
      <c r="V20" s="13" t="s">
        <v>118</v>
      </c>
    </row>
    <row r="21" spans="1:22" ht="90" customHeight="1" x14ac:dyDescent="0.35">
      <c r="A21" s="12">
        <v>20</v>
      </c>
      <c r="B21" s="12" t="s">
        <v>27</v>
      </c>
      <c r="C21" s="13" t="s">
        <v>119</v>
      </c>
      <c r="D21" s="12">
        <v>25.9</v>
      </c>
      <c r="E21" s="12">
        <v>330</v>
      </c>
      <c r="F21" s="12">
        <v>100</v>
      </c>
      <c r="G21" s="12">
        <v>7</v>
      </c>
      <c r="H21" s="12">
        <v>20</v>
      </c>
      <c r="I21" s="12">
        <v>100</v>
      </c>
      <c r="J21" s="12">
        <v>55</v>
      </c>
      <c r="K21" s="12" t="s">
        <v>62</v>
      </c>
      <c r="L21" s="12">
        <v>18</v>
      </c>
      <c r="M21" s="12">
        <v>275</v>
      </c>
      <c r="N21" s="12">
        <v>100</v>
      </c>
      <c r="O21" s="12">
        <v>8</v>
      </c>
      <c r="P21" s="12">
        <v>100</v>
      </c>
      <c r="Q21" s="12">
        <v>100</v>
      </c>
      <c r="R21" s="12">
        <v>68</v>
      </c>
      <c r="S21" s="12" t="s">
        <v>62</v>
      </c>
      <c r="T21" s="12" t="str">
        <f t="shared" si="0"/>
        <v>Claude</v>
      </c>
      <c r="U21" s="13" t="s">
        <v>120</v>
      </c>
      <c r="V21" s="13" t="s">
        <v>121</v>
      </c>
    </row>
    <row r="22" spans="1:22" ht="90" customHeight="1" x14ac:dyDescent="0.35">
      <c r="A22" s="12">
        <v>21</v>
      </c>
      <c r="B22" s="12" t="s">
        <v>28</v>
      </c>
      <c r="C22" s="13" t="s">
        <v>122</v>
      </c>
      <c r="D22" s="12">
        <v>32.4</v>
      </c>
      <c r="E22" s="12">
        <v>161</v>
      </c>
      <c r="F22" s="12">
        <v>100</v>
      </c>
      <c r="G22" s="12">
        <v>12</v>
      </c>
      <c r="H22" s="12">
        <v>20</v>
      </c>
      <c r="I22" s="12">
        <v>100</v>
      </c>
      <c r="J22" s="12">
        <v>57</v>
      </c>
      <c r="K22" s="12" t="s">
        <v>62</v>
      </c>
      <c r="L22" s="12">
        <v>15.3</v>
      </c>
      <c r="M22" s="12">
        <v>285</v>
      </c>
      <c r="N22" s="12">
        <v>100</v>
      </c>
      <c r="O22" s="12">
        <v>13</v>
      </c>
      <c r="P22" s="12">
        <v>100</v>
      </c>
      <c r="Q22" s="12">
        <v>100</v>
      </c>
      <c r="R22" s="12">
        <v>70</v>
      </c>
      <c r="S22" s="12" t="s">
        <v>62</v>
      </c>
      <c r="T22" s="12" t="str">
        <f t="shared" si="0"/>
        <v>Claude</v>
      </c>
      <c r="U22" s="13" t="s">
        <v>123</v>
      </c>
      <c r="V22" s="13" t="s">
        <v>124</v>
      </c>
    </row>
    <row r="23" spans="1:22" ht="90" customHeight="1" x14ac:dyDescent="0.35">
      <c r="A23" s="12">
        <v>22</v>
      </c>
      <c r="B23" s="12" t="s">
        <v>28</v>
      </c>
      <c r="C23" s="13" t="s">
        <v>125</v>
      </c>
      <c r="D23" s="12">
        <v>25.7</v>
      </c>
      <c r="E23" s="12">
        <v>161</v>
      </c>
      <c r="F23" s="12">
        <v>100</v>
      </c>
      <c r="G23" s="12">
        <v>10</v>
      </c>
      <c r="H23" s="12">
        <v>20</v>
      </c>
      <c r="I23" s="12">
        <v>100</v>
      </c>
      <c r="J23" s="12">
        <v>57</v>
      </c>
      <c r="K23" s="12" t="s">
        <v>62</v>
      </c>
      <c r="L23" s="12">
        <v>12.7</v>
      </c>
      <c r="M23" s="12">
        <v>183</v>
      </c>
      <c r="N23" s="12">
        <v>100</v>
      </c>
      <c r="O23" s="12">
        <v>5</v>
      </c>
      <c r="P23" s="12">
        <v>100</v>
      </c>
      <c r="Q23" s="12">
        <v>100</v>
      </c>
      <c r="R23" s="12">
        <v>67</v>
      </c>
      <c r="S23" s="12" t="s">
        <v>62</v>
      </c>
      <c r="T23" s="12" t="str">
        <f t="shared" si="0"/>
        <v>Claude</v>
      </c>
      <c r="U23" s="13" t="s">
        <v>126</v>
      </c>
      <c r="V23" s="13" t="s">
        <v>127</v>
      </c>
    </row>
    <row r="24" spans="1:22" ht="90" customHeight="1" x14ac:dyDescent="0.35">
      <c r="A24" s="12">
        <v>23</v>
      </c>
      <c r="B24" s="12" t="s">
        <v>28</v>
      </c>
      <c r="C24" s="13" t="s">
        <v>128</v>
      </c>
      <c r="D24" s="12">
        <v>23.7</v>
      </c>
      <c r="E24" s="12">
        <v>247</v>
      </c>
      <c r="F24" s="12">
        <v>100</v>
      </c>
      <c r="G24" s="12">
        <v>8</v>
      </c>
      <c r="H24" s="12">
        <v>20</v>
      </c>
      <c r="I24" s="12">
        <v>100</v>
      </c>
      <c r="J24" s="12">
        <v>56</v>
      </c>
      <c r="K24" s="12" t="s">
        <v>62</v>
      </c>
      <c r="L24" s="12">
        <v>19.899999999999999</v>
      </c>
      <c r="M24" s="12">
        <v>256</v>
      </c>
      <c r="N24" s="12">
        <v>100</v>
      </c>
      <c r="O24" s="12">
        <v>6</v>
      </c>
      <c r="P24" s="12">
        <v>100</v>
      </c>
      <c r="Q24" s="12">
        <v>100</v>
      </c>
      <c r="R24" s="12">
        <v>67</v>
      </c>
      <c r="S24" s="12" t="s">
        <v>62</v>
      </c>
      <c r="T24" s="12" t="str">
        <f t="shared" si="0"/>
        <v>Claude</v>
      </c>
      <c r="U24" s="13" t="s">
        <v>129</v>
      </c>
      <c r="V24" s="13" t="s">
        <v>130</v>
      </c>
    </row>
    <row r="25" spans="1:22" ht="90" customHeight="1" x14ac:dyDescent="0.35">
      <c r="A25" s="12">
        <v>24</v>
      </c>
      <c r="B25" s="12" t="s">
        <v>28</v>
      </c>
      <c r="C25" s="13" t="s">
        <v>131</v>
      </c>
      <c r="D25" s="12">
        <v>22</v>
      </c>
      <c r="E25" s="12">
        <v>286</v>
      </c>
      <c r="F25" s="12">
        <v>100</v>
      </c>
      <c r="G25" s="12">
        <v>4</v>
      </c>
      <c r="H25" s="12">
        <v>20</v>
      </c>
      <c r="I25" s="12">
        <v>100</v>
      </c>
      <c r="J25" s="12">
        <v>54</v>
      </c>
      <c r="K25" s="12" t="s">
        <v>62</v>
      </c>
      <c r="L25" s="12">
        <v>13.2</v>
      </c>
      <c r="M25" s="12">
        <v>212</v>
      </c>
      <c r="N25" s="12">
        <v>100</v>
      </c>
      <c r="O25" s="12">
        <v>4</v>
      </c>
      <c r="P25" s="12">
        <v>100</v>
      </c>
      <c r="Q25" s="12">
        <v>100</v>
      </c>
      <c r="R25" s="12">
        <v>66</v>
      </c>
      <c r="S25" s="12" t="s">
        <v>62</v>
      </c>
      <c r="T25" s="12" t="str">
        <f t="shared" si="0"/>
        <v>Claude</v>
      </c>
      <c r="U25" s="13" t="s">
        <v>132</v>
      </c>
      <c r="V25" s="13" t="s">
        <v>133</v>
      </c>
    </row>
    <row r="26" spans="1:22" ht="90" customHeight="1" x14ac:dyDescent="0.35">
      <c r="A26" s="12">
        <v>25</v>
      </c>
      <c r="B26" s="12" t="s">
        <v>28</v>
      </c>
      <c r="C26" s="13" t="s">
        <v>134</v>
      </c>
      <c r="D26" s="12">
        <v>23.4</v>
      </c>
      <c r="E26" s="12">
        <v>276</v>
      </c>
      <c r="F26" s="12">
        <v>100</v>
      </c>
      <c r="G26" s="12">
        <v>4</v>
      </c>
      <c r="H26" s="12">
        <v>20</v>
      </c>
      <c r="I26" s="12">
        <v>100</v>
      </c>
      <c r="J26" s="12">
        <v>54</v>
      </c>
      <c r="K26" s="12" t="s">
        <v>62</v>
      </c>
      <c r="L26" s="12">
        <v>16.8</v>
      </c>
      <c r="M26" s="12">
        <v>248</v>
      </c>
      <c r="N26" s="12">
        <v>100</v>
      </c>
      <c r="O26" s="12">
        <v>6</v>
      </c>
      <c r="P26" s="12">
        <v>100</v>
      </c>
      <c r="Q26" s="12">
        <v>100</v>
      </c>
      <c r="R26" s="12">
        <v>67</v>
      </c>
      <c r="S26" s="12" t="s">
        <v>62</v>
      </c>
      <c r="T26" s="12" t="str">
        <f t="shared" si="0"/>
        <v>Claude</v>
      </c>
      <c r="U26" s="13" t="s">
        <v>135</v>
      </c>
      <c r="V26" s="13" t="s">
        <v>136</v>
      </c>
    </row>
    <row r="27" spans="1:22" ht="90" customHeight="1" x14ac:dyDescent="0.35">
      <c r="A27" s="12">
        <v>26</v>
      </c>
      <c r="B27" s="12" t="s">
        <v>29</v>
      </c>
      <c r="C27" s="13" t="s">
        <v>137</v>
      </c>
      <c r="D27" s="12">
        <v>19.8</v>
      </c>
      <c r="E27" s="12">
        <v>206</v>
      </c>
      <c r="F27" s="12">
        <v>100</v>
      </c>
      <c r="G27" s="12">
        <v>13</v>
      </c>
      <c r="H27" s="12">
        <v>20</v>
      </c>
      <c r="I27" s="12">
        <v>100</v>
      </c>
      <c r="J27" s="12">
        <v>57</v>
      </c>
      <c r="K27" s="12" t="s">
        <v>62</v>
      </c>
      <c r="L27" s="12">
        <v>12.3</v>
      </c>
      <c r="M27" s="12">
        <v>234</v>
      </c>
      <c r="N27" s="12">
        <v>100</v>
      </c>
      <c r="O27" s="12">
        <v>14</v>
      </c>
      <c r="P27" s="12">
        <v>100</v>
      </c>
      <c r="Q27" s="12">
        <v>100</v>
      </c>
      <c r="R27" s="12">
        <v>70</v>
      </c>
      <c r="S27" s="12" t="s">
        <v>62</v>
      </c>
      <c r="T27" s="12" t="str">
        <f t="shared" si="0"/>
        <v>Claude</v>
      </c>
      <c r="U27" s="13" t="s">
        <v>138</v>
      </c>
      <c r="V27" s="13" t="s">
        <v>139</v>
      </c>
    </row>
    <row r="28" spans="1:22" ht="90" customHeight="1" x14ac:dyDescent="0.35">
      <c r="A28" s="12">
        <v>27</v>
      </c>
      <c r="B28" s="12" t="s">
        <v>29</v>
      </c>
      <c r="C28" s="13" t="s">
        <v>140</v>
      </c>
      <c r="D28" s="12">
        <v>34</v>
      </c>
      <c r="E28" s="12">
        <v>269</v>
      </c>
      <c r="F28" s="12">
        <v>100</v>
      </c>
      <c r="G28" s="12">
        <v>6</v>
      </c>
      <c r="H28" s="12">
        <v>20</v>
      </c>
      <c r="I28" s="12">
        <v>100</v>
      </c>
      <c r="J28" s="12">
        <v>55</v>
      </c>
      <c r="K28" s="12" t="s">
        <v>62</v>
      </c>
      <c r="L28" s="12">
        <v>14.4</v>
      </c>
      <c r="M28" s="12">
        <v>215</v>
      </c>
      <c r="N28" s="12">
        <v>100</v>
      </c>
      <c r="O28" s="12">
        <v>4</v>
      </c>
      <c r="P28" s="12">
        <v>100</v>
      </c>
      <c r="Q28" s="12">
        <v>100</v>
      </c>
      <c r="R28" s="12">
        <v>66</v>
      </c>
      <c r="S28" s="12" t="s">
        <v>62</v>
      </c>
      <c r="T28" s="12" t="str">
        <f t="shared" si="0"/>
        <v>Claude</v>
      </c>
      <c r="U28" s="13" t="s">
        <v>141</v>
      </c>
      <c r="V28" s="13" t="s">
        <v>142</v>
      </c>
    </row>
    <row r="29" spans="1:22" ht="90" customHeight="1" x14ac:dyDescent="0.35">
      <c r="A29" s="12">
        <v>28</v>
      </c>
      <c r="B29" s="12" t="s">
        <v>29</v>
      </c>
      <c r="C29" s="13" t="s">
        <v>143</v>
      </c>
      <c r="D29" s="12">
        <v>32.799999999999997</v>
      </c>
      <c r="E29" s="12">
        <v>131</v>
      </c>
      <c r="F29" s="12">
        <v>100</v>
      </c>
      <c r="G29" s="12">
        <v>10</v>
      </c>
      <c r="H29" s="12">
        <v>20</v>
      </c>
      <c r="I29" s="12">
        <v>100</v>
      </c>
      <c r="J29" s="12">
        <v>56</v>
      </c>
      <c r="K29" s="12" t="s">
        <v>62</v>
      </c>
      <c r="L29" s="12">
        <v>13.5</v>
      </c>
      <c r="M29" s="12">
        <v>263</v>
      </c>
      <c r="N29" s="12">
        <v>100</v>
      </c>
      <c r="O29" s="12">
        <v>6</v>
      </c>
      <c r="P29" s="12">
        <v>100</v>
      </c>
      <c r="Q29" s="12">
        <v>100</v>
      </c>
      <c r="R29" s="12">
        <v>67</v>
      </c>
      <c r="S29" s="12" t="s">
        <v>62</v>
      </c>
      <c r="T29" s="12" t="str">
        <f t="shared" si="0"/>
        <v>Claude</v>
      </c>
      <c r="U29" s="13" t="s">
        <v>144</v>
      </c>
      <c r="V29" s="13" t="s">
        <v>145</v>
      </c>
    </row>
    <row r="30" spans="1:22" ht="90" customHeight="1" x14ac:dyDescent="0.35">
      <c r="A30" s="12">
        <v>29</v>
      </c>
      <c r="B30" s="12" t="s">
        <v>29</v>
      </c>
      <c r="C30" s="13" t="s">
        <v>146</v>
      </c>
      <c r="D30" s="12">
        <v>20</v>
      </c>
      <c r="E30" s="12">
        <v>330</v>
      </c>
      <c r="F30" s="12">
        <v>100</v>
      </c>
      <c r="G30" s="12">
        <v>7</v>
      </c>
      <c r="H30" s="12">
        <v>20</v>
      </c>
      <c r="I30" s="12">
        <v>100</v>
      </c>
      <c r="J30" s="12">
        <v>56</v>
      </c>
      <c r="K30" s="12" t="s">
        <v>62</v>
      </c>
      <c r="L30" s="12">
        <v>17.5</v>
      </c>
      <c r="M30" s="12">
        <v>261</v>
      </c>
      <c r="N30" s="12">
        <v>100</v>
      </c>
      <c r="O30" s="12">
        <v>7</v>
      </c>
      <c r="P30" s="12">
        <v>100</v>
      </c>
      <c r="Q30" s="12">
        <v>100</v>
      </c>
      <c r="R30" s="12">
        <v>68</v>
      </c>
      <c r="S30" s="12" t="s">
        <v>62</v>
      </c>
      <c r="T30" s="12" t="str">
        <f t="shared" si="0"/>
        <v>Claude</v>
      </c>
      <c r="U30" s="13" t="s">
        <v>147</v>
      </c>
      <c r="V30" s="13" t="s">
        <v>148</v>
      </c>
    </row>
    <row r="31" spans="1:22" ht="90" customHeight="1" x14ac:dyDescent="0.35">
      <c r="A31" s="12">
        <v>30</v>
      </c>
      <c r="B31" s="12" t="s">
        <v>29</v>
      </c>
      <c r="C31" s="13" t="s">
        <v>149</v>
      </c>
      <c r="D31" s="12">
        <v>19.899999999999999</v>
      </c>
      <c r="E31" s="12">
        <v>150</v>
      </c>
      <c r="F31" s="12">
        <v>100</v>
      </c>
      <c r="G31" s="12">
        <v>10</v>
      </c>
      <c r="H31" s="12">
        <v>20</v>
      </c>
      <c r="I31" s="12">
        <v>100</v>
      </c>
      <c r="J31" s="12">
        <v>57</v>
      </c>
      <c r="K31" s="12" t="s">
        <v>62</v>
      </c>
      <c r="L31" s="12">
        <v>14.6</v>
      </c>
      <c r="M31" s="12">
        <v>268</v>
      </c>
      <c r="N31" s="12">
        <v>100</v>
      </c>
      <c r="O31" s="12">
        <v>8</v>
      </c>
      <c r="P31" s="12">
        <v>100</v>
      </c>
      <c r="Q31" s="12">
        <v>100</v>
      </c>
      <c r="R31" s="12">
        <v>68</v>
      </c>
      <c r="S31" s="12" t="s">
        <v>62</v>
      </c>
      <c r="T31" s="12" t="str">
        <f t="shared" si="0"/>
        <v>Claude</v>
      </c>
      <c r="U31" s="13" t="s">
        <v>150</v>
      </c>
      <c r="V31" s="13" t="s">
        <v>151</v>
      </c>
    </row>
    <row r="32" spans="1:22" ht="90" customHeight="1" x14ac:dyDescent="0.35">
      <c r="A32" s="12">
        <v>31</v>
      </c>
      <c r="B32" s="12" t="s">
        <v>30</v>
      </c>
      <c r="C32" s="13" t="s">
        <v>152</v>
      </c>
      <c r="D32" s="12">
        <v>21.3</v>
      </c>
      <c r="E32" s="12">
        <v>205</v>
      </c>
      <c r="F32" s="12">
        <v>100</v>
      </c>
      <c r="G32" s="12">
        <v>8</v>
      </c>
      <c r="H32" s="12">
        <v>20</v>
      </c>
      <c r="I32" s="12">
        <v>100</v>
      </c>
      <c r="J32" s="12">
        <v>56</v>
      </c>
      <c r="K32" s="12" t="s">
        <v>62</v>
      </c>
      <c r="L32" s="12">
        <v>14.5</v>
      </c>
      <c r="M32" s="12">
        <v>241</v>
      </c>
      <c r="N32" s="12">
        <v>100</v>
      </c>
      <c r="O32" s="12">
        <v>8</v>
      </c>
      <c r="P32" s="12">
        <v>100</v>
      </c>
      <c r="Q32" s="12">
        <v>100</v>
      </c>
      <c r="R32" s="12">
        <v>68</v>
      </c>
      <c r="S32" s="12" t="s">
        <v>62</v>
      </c>
      <c r="T32" s="12" t="str">
        <f t="shared" si="0"/>
        <v>Claude</v>
      </c>
      <c r="U32" s="13" t="s">
        <v>153</v>
      </c>
      <c r="V32" s="13" t="s">
        <v>154</v>
      </c>
    </row>
    <row r="33" spans="1:22" ht="90" customHeight="1" x14ac:dyDescent="0.35">
      <c r="A33" s="12">
        <v>32</v>
      </c>
      <c r="B33" s="12" t="s">
        <v>30</v>
      </c>
      <c r="C33" s="13" t="s">
        <v>155</v>
      </c>
      <c r="D33" s="12">
        <v>15.5</v>
      </c>
      <c r="E33" s="12">
        <v>187</v>
      </c>
      <c r="F33" s="12">
        <v>100</v>
      </c>
      <c r="G33" s="12">
        <v>6</v>
      </c>
      <c r="H33" s="12">
        <v>20</v>
      </c>
      <c r="I33" s="12">
        <v>100</v>
      </c>
      <c r="J33" s="12">
        <v>55</v>
      </c>
      <c r="K33" s="12" t="s">
        <v>62</v>
      </c>
      <c r="L33" s="12">
        <v>14</v>
      </c>
      <c r="M33" s="12">
        <v>236</v>
      </c>
      <c r="N33" s="12">
        <v>100</v>
      </c>
      <c r="O33" s="12">
        <v>8</v>
      </c>
      <c r="P33" s="12">
        <v>100</v>
      </c>
      <c r="Q33" s="12">
        <v>100</v>
      </c>
      <c r="R33" s="12">
        <v>68</v>
      </c>
      <c r="S33" s="12" t="s">
        <v>62</v>
      </c>
      <c r="T33" s="12" t="str">
        <f t="shared" si="0"/>
        <v>Claude</v>
      </c>
      <c r="U33" s="13" t="s">
        <v>156</v>
      </c>
      <c r="V33" s="13" t="s">
        <v>157</v>
      </c>
    </row>
    <row r="34" spans="1:22" ht="90" customHeight="1" x14ac:dyDescent="0.35">
      <c r="A34" s="12">
        <v>33</v>
      </c>
      <c r="B34" s="12" t="s">
        <v>30</v>
      </c>
      <c r="C34" s="13" t="s">
        <v>158</v>
      </c>
      <c r="D34" s="12">
        <v>22.3</v>
      </c>
      <c r="E34" s="12">
        <v>204</v>
      </c>
      <c r="F34" s="12">
        <v>100</v>
      </c>
      <c r="G34" s="12">
        <v>4</v>
      </c>
      <c r="H34" s="12">
        <v>20</v>
      </c>
      <c r="I34" s="12">
        <v>100</v>
      </c>
      <c r="J34" s="12">
        <v>55</v>
      </c>
      <c r="K34" s="12" t="s">
        <v>62</v>
      </c>
      <c r="L34" s="12">
        <v>18.5</v>
      </c>
      <c r="M34" s="12">
        <v>303</v>
      </c>
      <c r="N34" s="12">
        <v>100</v>
      </c>
      <c r="O34" s="12">
        <v>3</v>
      </c>
      <c r="P34" s="12">
        <v>100</v>
      </c>
      <c r="Q34" s="12">
        <v>100</v>
      </c>
      <c r="R34" s="12">
        <v>66</v>
      </c>
      <c r="S34" s="12" t="s">
        <v>62</v>
      </c>
      <c r="T34" s="12" t="str">
        <f t="shared" ref="T34:T56" si="1">IF(ABS(J34-R34)&lt;=3,"Tie",IF(J34&gt;R34,"Copilot","Claude"))</f>
        <v>Claude</v>
      </c>
      <c r="U34" s="13" t="s">
        <v>159</v>
      </c>
      <c r="V34" s="13" t="s">
        <v>160</v>
      </c>
    </row>
    <row r="35" spans="1:22" ht="90" customHeight="1" x14ac:dyDescent="0.35">
      <c r="A35" s="12">
        <v>34</v>
      </c>
      <c r="B35" s="12" t="s">
        <v>30</v>
      </c>
      <c r="C35" s="13" t="s">
        <v>161</v>
      </c>
      <c r="D35" s="12">
        <v>17.899999999999999</v>
      </c>
      <c r="E35" s="12">
        <v>164</v>
      </c>
      <c r="F35" s="12">
        <v>100</v>
      </c>
      <c r="G35" s="12">
        <v>5</v>
      </c>
      <c r="H35" s="12">
        <v>20</v>
      </c>
      <c r="I35" s="12">
        <v>100</v>
      </c>
      <c r="J35" s="12">
        <v>55</v>
      </c>
      <c r="K35" s="12" t="s">
        <v>62</v>
      </c>
      <c r="L35" s="12">
        <v>16.3</v>
      </c>
      <c r="M35" s="12">
        <v>259</v>
      </c>
      <c r="N35" s="12">
        <v>100</v>
      </c>
      <c r="O35" s="12">
        <v>3</v>
      </c>
      <c r="P35" s="12">
        <v>100</v>
      </c>
      <c r="Q35" s="12">
        <v>100</v>
      </c>
      <c r="R35" s="12">
        <v>66</v>
      </c>
      <c r="S35" s="12" t="s">
        <v>62</v>
      </c>
      <c r="T35" s="12" t="str">
        <f t="shared" si="1"/>
        <v>Claude</v>
      </c>
      <c r="U35" s="13" t="s">
        <v>162</v>
      </c>
      <c r="V35" s="13" t="s">
        <v>163</v>
      </c>
    </row>
    <row r="36" spans="1:22" ht="90" customHeight="1" x14ac:dyDescent="0.35">
      <c r="A36" s="12">
        <v>35</v>
      </c>
      <c r="B36" s="12" t="s">
        <v>30</v>
      </c>
      <c r="C36" s="13" t="s">
        <v>164</v>
      </c>
      <c r="D36" s="12">
        <v>20.3</v>
      </c>
      <c r="E36" s="12">
        <v>124</v>
      </c>
      <c r="F36" s="12">
        <v>100</v>
      </c>
      <c r="G36" s="12">
        <v>3</v>
      </c>
      <c r="H36" s="12">
        <v>20</v>
      </c>
      <c r="I36" s="12">
        <v>100</v>
      </c>
      <c r="J36" s="12">
        <v>54</v>
      </c>
      <c r="K36" s="12" t="s">
        <v>62</v>
      </c>
      <c r="L36" s="12">
        <v>15.6</v>
      </c>
      <c r="M36" s="12">
        <v>248</v>
      </c>
      <c r="N36" s="12">
        <v>100</v>
      </c>
      <c r="O36" s="12">
        <v>4</v>
      </c>
      <c r="P36" s="12">
        <v>100</v>
      </c>
      <c r="Q36" s="12">
        <v>100</v>
      </c>
      <c r="R36" s="12">
        <v>66</v>
      </c>
      <c r="S36" s="12" t="s">
        <v>62</v>
      </c>
      <c r="T36" s="12" t="str">
        <f t="shared" si="1"/>
        <v>Claude</v>
      </c>
      <c r="U36" s="13" t="s">
        <v>165</v>
      </c>
      <c r="V36" s="13" t="s">
        <v>166</v>
      </c>
    </row>
    <row r="37" spans="1:22" ht="90" customHeight="1" x14ac:dyDescent="0.35">
      <c r="A37" s="12">
        <v>36</v>
      </c>
      <c r="B37" s="12" t="s">
        <v>31</v>
      </c>
      <c r="C37" s="13" t="s">
        <v>167</v>
      </c>
      <c r="D37" s="12">
        <v>26.8</v>
      </c>
      <c r="E37" s="12">
        <v>92</v>
      </c>
      <c r="F37" s="12">
        <v>100</v>
      </c>
      <c r="G37" s="12">
        <v>3</v>
      </c>
      <c r="H37" s="12">
        <v>20</v>
      </c>
      <c r="I37" s="12">
        <v>100</v>
      </c>
      <c r="J37" s="12">
        <v>54</v>
      </c>
      <c r="K37" s="12" t="s">
        <v>62</v>
      </c>
      <c r="L37" s="12">
        <v>13.2</v>
      </c>
      <c r="M37" s="12">
        <v>246</v>
      </c>
      <c r="N37" s="12">
        <v>100</v>
      </c>
      <c r="O37" s="12">
        <v>2</v>
      </c>
      <c r="P37" s="12">
        <v>100</v>
      </c>
      <c r="Q37" s="12">
        <v>100</v>
      </c>
      <c r="R37" s="12">
        <v>66</v>
      </c>
      <c r="S37" s="12" t="s">
        <v>62</v>
      </c>
      <c r="T37" s="12" t="str">
        <f t="shared" si="1"/>
        <v>Claude</v>
      </c>
      <c r="U37" s="13" t="s">
        <v>168</v>
      </c>
      <c r="V37" s="13" t="s">
        <v>169</v>
      </c>
    </row>
    <row r="38" spans="1:22" ht="90" customHeight="1" x14ac:dyDescent="0.35">
      <c r="A38" s="12">
        <v>37</v>
      </c>
      <c r="B38" s="12" t="s">
        <v>31</v>
      </c>
      <c r="C38" s="13" t="s">
        <v>170</v>
      </c>
      <c r="D38" s="12">
        <v>36.200000000000003</v>
      </c>
      <c r="E38" s="12">
        <v>100</v>
      </c>
      <c r="F38" s="12">
        <v>85</v>
      </c>
      <c r="G38" s="12">
        <v>2</v>
      </c>
      <c r="H38" s="12">
        <v>20</v>
      </c>
      <c r="I38" s="12">
        <v>100</v>
      </c>
      <c r="J38" s="12">
        <v>49</v>
      </c>
      <c r="K38" s="12" t="s">
        <v>62</v>
      </c>
      <c r="L38" s="12">
        <v>13.6</v>
      </c>
      <c r="M38" s="12">
        <v>232</v>
      </c>
      <c r="N38" s="12">
        <v>85</v>
      </c>
      <c r="O38" s="12">
        <v>5</v>
      </c>
      <c r="P38" s="12">
        <v>100</v>
      </c>
      <c r="Q38" s="12">
        <v>100</v>
      </c>
      <c r="R38" s="12">
        <v>62</v>
      </c>
      <c r="S38" s="12" t="s">
        <v>62</v>
      </c>
      <c r="T38" s="12" t="str">
        <f t="shared" si="1"/>
        <v>Claude</v>
      </c>
      <c r="U38" s="13" t="s">
        <v>171</v>
      </c>
      <c r="V38" s="13" t="s">
        <v>172</v>
      </c>
    </row>
    <row r="39" spans="1:22" ht="90" customHeight="1" x14ac:dyDescent="0.35">
      <c r="A39" s="12">
        <v>38</v>
      </c>
      <c r="B39" s="12" t="s">
        <v>31</v>
      </c>
      <c r="C39" s="13" t="s">
        <v>173</v>
      </c>
      <c r="D39" s="12">
        <v>19.899999999999999</v>
      </c>
      <c r="E39" s="12">
        <v>109</v>
      </c>
      <c r="F39" s="12">
        <v>100</v>
      </c>
      <c r="G39" s="12">
        <v>3</v>
      </c>
      <c r="H39" s="12">
        <v>20</v>
      </c>
      <c r="I39" s="12">
        <v>100</v>
      </c>
      <c r="J39" s="12">
        <v>54</v>
      </c>
      <c r="K39" s="12" t="s">
        <v>62</v>
      </c>
      <c r="L39" s="12">
        <v>13.8</v>
      </c>
      <c r="M39" s="12">
        <v>223</v>
      </c>
      <c r="N39" s="12">
        <v>100</v>
      </c>
      <c r="O39" s="12">
        <v>4</v>
      </c>
      <c r="P39" s="12">
        <v>100</v>
      </c>
      <c r="Q39" s="12">
        <v>100</v>
      </c>
      <c r="R39" s="12">
        <v>66</v>
      </c>
      <c r="S39" s="12" t="s">
        <v>62</v>
      </c>
      <c r="T39" s="12" t="str">
        <f t="shared" si="1"/>
        <v>Claude</v>
      </c>
      <c r="U39" s="13" t="s">
        <v>174</v>
      </c>
      <c r="V39" s="13" t="s">
        <v>175</v>
      </c>
    </row>
    <row r="40" spans="1:22" ht="90" customHeight="1" x14ac:dyDescent="0.35">
      <c r="A40" s="12">
        <v>39</v>
      </c>
      <c r="B40" s="12" t="s">
        <v>31</v>
      </c>
      <c r="C40" s="13" t="s">
        <v>176</v>
      </c>
      <c r="D40" s="12">
        <v>16.2</v>
      </c>
      <c r="E40" s="12">
        <v>223</v>
      </c>
      <c r="F40" s="12">
        <v>100</v>
      </c>
      <c r="G40" s="12">
        <v>5</v>
      </c>
      <c r="H40" s="12">
        <v>20</v>
      </c>
      <c r="I40" s="12">
        <v>100</v>
      </c>
      <c r="J40" s="12">
        <v>55</v>
      </c>
      <c r="K40" s="12" t="s">
        <v>62</v>
      </c>
      <c r="L40" s="12">
        <v>13.5</v>
      </c>
      <c r="M40" s="12">
        <v>225</v>
      </c>
      <c r="N40" s="12">
        <v>100</v>
      </c>
      <c r="O40" s="12">
        <v>5</v>
      </c>
      <c r="P40" s="12">
        <v>100</v>
      </c>
      <c r="Q40" s="12">
        <v>100</v>
      </c>
      <c r="R40" s="12">
        <v>67</v>
      </c>
      <c r="S40" s="12" t="s">
        <v>62</v>
      </c>
      <c r="T40" s="12" t="str">
        <f t="shared" si="1"/>
        <v>Claude</v>
      </c>
      <c r="U40" s="13" t="s">
        <v>177</v>
      </c>
      <c r="V40" s="13" t="s">
        <v>178</v>
      </c>
    </row>
    <row r="41" spans="1:22" ht="90" customHeight="1" x14ac:dyDescent="0.35">
      <c r="A41" s="12">
        <v>40</v>
      </c>
      <c r="B41" s="12" t="s">
        <v>31</v>
      </c>
      <c r="C41" s="13" t="s">
        <v>179</v>
      </c>
      <c r="D41" s="12">
        <v>15.9</v>
      </c>
      <c r="E41" s="12">
        <v>212</v>
      </c>
      <c r="F41" s="12">
        <v>100</v>
      </c>
      <c r="G41" s="12">
        <v>5</v>
      </c>
      <c r="H41" s="12">
        <v>20</v>
      </c>
      <c r="I41" s="12">
        <v>100</v>
      </c>
      <c r="J41" s="12">
        <v>55</v>
      </c>
      <c r="K41" s="12" t="s">
        <v>62</v>
      </c>
      <c r="L41" s="12">
        <v>14.5</v>
      </c>
      <c r="M41" s="12">
        <v>238</v>
      </c>
      <c r="N41" s="12">
        <v>100</v>
      </c>
      <c r="O41" s="12">
        <v>4</v>
      </c>
      <c r="P41" s="12">
        <v>100</v>
      </c>
      <c r="Q41" s="12">
        <v>100</v>
      </c>
      <c r="R41" s="12">
        <v>66</v>
      </c>
      <c r="S41" s="12" t="s">
        <v>62</v>
      </c>
      <c r="T41" s="12" t="str">
        <f t="shared" si="1"/>
        <v>Claude</v>
      </c>
      <c r="U41" s="13" t="s">
        <v>180</v>
      </c>
      <c r="V41" s="13" t="s">
        <v>181</v>
      </c>
    </row>
    <row r="42" spans="1:22" ht="90" customHeight="1" x14ac:dyDescent="0.35">
      <c r="A42" s="12">
        <v>41</v>
      </c>
      <c r="B42" s="12" t="s">
        <v>32</v>
      </c>
      <c r="C42" s="13" t="s">
        <v>182</v>
      </c>
      <c r="D42" s="12">
        <v>16.7</v>
      </c>
      <c r="E42" s="12">
        <v>229</v>
      </c>
      <c r="F42" s="12">
        <v>70</v>
      </c>
      <c r="G42" s="12">
        <v>4</v>
      </c>
      <c r="H42" s="12">
        <v>20</v>
      </c>
      <c r="I42" s="12">
        <v>100</v>
      </c>
      <c r="J42" s="12">
        <v>45</v>
      </c>
      <c r="K42" s="12" t="s">
        <v>62</v>
      </c>
      <c r="L42" s="12">
        <v>14</v>
      </c>
      <c r="M42" s="12">
        <v>222</v>
      </c>
      <c r="N42" s="12">
        <v>100</v>
      </c>
      <c r="O42" s="12">
        <v>4</v>
      </c>
      <c r="P42" s="12">
        <v>100</v>
      </c>
      <c r="Q42" s="12">
        <v>100</v>
      </c>
      <c r="R42" s="12">
        <v>67</v>
      </c>
      <c r="S42" s="12" t="s">
        <v>62</v>
      </c>
      <c r="T42" s="12" t="str">
        <f t="shared" si="1"/>
        <v>Claude</v>
      </c>
      <c r="U42" s="13" t="s">
        <v>183</v>
      </c>
      <c r="V42" s="13" t="s">
        <v>184</v>
      </c>
    </row>
    <row r="43" spans="1:22" ht="90" customHeight="1" x14ac:dyDescent="0.35">
      <c r="A43" s="12">
        <v>42</v>
      </c>
      <c r="B43" s="12" t="s">
        <v>32</v>
      </c>
      <c r="C43" s="13" t="s">
        <v>185</v>
      </c>
      <c r="D43" s="12">
        <v>18.3</v>
      </c>
      <c r="E43" s="12">
        <v>232</v>
      </c>
      <c r="F43" s="12">
        <v>100</v>
      </c>
      <c r="G43" s="12">
        <v>7</v>
      </c>
      <c r="H43" s="12">
        <v>20</v>
      </c>
      <c r="I43" s="12">
        <v>100</v>
      </c>
      <c r="J43" s="12">
        <v>55</v>
      </c>
      <c r="K43" s="12" t="s">
        <v>62</v>
      </c>
      <c r="L43" s="12">
        <v>16.8</v>
      </c>
      <c r="M43" s="12">
        <v>247</v>
      </c>
      <c r="N43" s="12">
        <v>100</v>
      </c>
      <c r="O43" s="12">
        <v>6</v>
      </c>
      <c r="P43" s="12">
        <v>100</v>
      </c>
      <c r="Q43" s="12">
        <v>100</v>
      </c>
      <c r="R43" s="12">
        <v>67</v>
      </c>
      <c r="S43" s="12" t="s">
        <v>62</v>
      </c>
      <c r="T43" s="12" t="str">
        <f t="shared" si="1"/>
        <v>Claude</v>
      </c>
      <c r="U43" s="13" t="s">
        <v>186</v>
      </c>
      <c r="V43" s="13" t="s">
        <v>187</v>
      </c>
    </row>
    <row r="44" spans="1:22" ht="90" customHeight="1" x14ac:dyDescent="0.35">
      <c r="A44" s="12">
        <v>43</v>
      </c>
      <c r="B44" s="12" t="s">
        <v>32</v>
      </c>
      <c r="C44" s="13" t="s">
        <v>188</v>
      </c>
      <c r="D44" s="12">
        <v>31.9</v>
      </c>
      <c r="E44" s="12">
        <v>208</v>
      </c>
      <c r="F44" s="12">
        <v>100</v>
      </c>
      <c r="G44" s="12">
        <v>5</v>
      </c>
      <c r="H44" s="12">
        <v>100</v>
      </c>
      <c r="I44" s="12">
        <v>100</v>
      </c>
      <c r="J44" s="12">
        <v>67</v>
      </c>
      <c r="K44" s="12" t="s">
        <v>62</v>
      </c>
      <c r="L44" s="12">
        <v>37</v>
      </c>
      <c r="M44" s="12">
        <v>250</v>
      </c>
      <c r="N44" s="12">
        <v>100</v>
      </c>
      <c r="O44" s="12">
        <v>5</v>
      </c>
      <c r="P44" s="12">
        <v>20</v>
      </c>
      <c r="Q44" s="12">
        <v>100</v>
      </c>
      <c r="R44" s="12">
        <v>55</v>
      </c>
      <c r="S44" s="12" t="s">
        <v>62</v>
      </c>
      <c r="T44" s="12" t="str">
        <f t="shared" si="1"/>
        <v>Copilot</v>
      </c>
      <c r="U44" s="13" t="s">
        <v>189</v>
      </c>
      <c r="V44" s="13" t="s">
        <v>190</v>
      </c>
    </row>
    <row r="45" spans="1:22" ht="90" customHeight="1" x14ac:dyDescent="0.35">
      <c r="A45" s="12">
        <v>44</v>
      </c>
      <c r="B45" s="12" t="s">
        <v>32</v>
      </c>
      <c r="C45" s="13" t="s">
        <v>191</v>
      </c>
      <c r="D45" s="12">
        <v>17.100000000000001</v>
      </c>
      <c r="E45" s="12">
        <v>213</v>
      </c>
      <c r="F45" s="12">
        <v>100</v>
      </c>
      <c r="G45" s="12">
        <v>5</v>
      </c>
      <c r="H45" s="12">
        <v>20</v>
      </c>
      <c r="I45" s="12">
        <v>100</v>
      </c>
      <c r="J45" s="12">
        <v>55</v>
      </c>
      <c r="K45" s="12" t="s">
        <v>62</v>
      </c>
      <c r="L45" s="12">
        <v>15.5</v>
      </c>
      <c r="M45" s="12">
        <v>243</v>
      </c>
      <c r="N45" s="12">
        <v>100</v>
      </c>
      <c r="O45" s="12">
        <v>4</v>
      </c>
      <c r="P45" s="12">
        <v>100</v>
      </c>
      <c r="Q45" s="12">
        <v>100</v>
      </c>
      <c r="R45" s="12">
        <v>66</v>
      </c>
      <c r="S45" s="12" t="s">
        <v>62</v>
      </c>
      <c r="T45" s="12" t="str">
        <f t="shared" si="1"/>
        <v>Claude</v>
      </c>
      <c r="U45" s="13" t="s">
        <v>192</v>
      </c>
      <c r="V45" s="13" t="s">
        <v>193</v>
      </c>
    </row>
    <row r="46" spans="1:22" ht="90" customHeight="1" x14ac:dyDescent="0.35">
      <c r="A46" s="12">
        <v>45</v>
      </c>
      <c r="B46" s="12" t="s">
        <v>32</v>
      </c>
      <c r="C46" s="13" t="s">
        <v>194</v>
      </c>
      <c r="D46" s="12">
        <v>17.600000000000001</v>
      </c>
      <c r="E46" s="12">
        <v>242</v>
      </c>
      <c r="F46" s="12">
        <v>100</v>
      </c>
      <c r="G46" s="12">
        <v>7</v>
      </c>
      <c r="H46" s="12">
        <v>20</v>
      </c>
      <c r="I46" s="12">
        <v>100</v>
      </c>
      <c r="J46" s="12">
        <v>55</v>
      </c>
      <c r="K46" s="12" t="s">
        <v>62</v>
      </c>
      <c r="L46" s="12">
        <v>15.6</v>
      </c>
      <c r="M46" s="12">
        <v>262</v>
      </c>
      <c r="N46" s="12">
        <v>100</v>
      </c>
      <c r="O46" s="12">
        <v>7</v>
      </c>
      <c r="P46" s="12">
        <v>100</v>
      </c>
      <c r="Q46" s="12">
        <v>100</v>
      </c>
      <c r="R46" s="12">
        <v>68</v>
      </c>
      <c r="S46" s="12" t="s">
        <v>62</v>
      </c>
      <c r="T46" s="12" t="str">
        <f t="shared" si="1"/>
        <v>Claude</v>
      </c>
      <c r="U46" s="13" t="s">
        <v>195</v>
      </c>
      <c r="V46" s="13" t="s">
        <v>196</v>
      </c>
    </row>
    <row r="47" spans="1:22" ht="90" customHeight="1" x14ac:dyDescent="0.35">
      <c r="A47" s="12">
        <v>46</v>
      </c>
      <c r="B47" s="12" t="s">
        <v>33</v>
      </c>
      <c r="C47" s="13" t="s">
        <v>197</v>
      </c>
      <c r="D47" s="12">
        <v>16.3</v>
      </c>
      <c r="E47" s="12">
        <v>228</v>
      </c>
      <c r="F47" s="12">
        <v>100</v>
      </c>
      <c r="G47" s="12">
        <v>9</v>
      </c>
      <c r="H47" s="12">
        <v>20</v>
      </c>
      <c r="I47" s="12">
        <v>100</v>
      </c>
      <c r="J47" s="12">
        <v>56</v>
      </c>
      <c r="K47" s="12" t="s">
        <v>62</v>
      </c>
      <c r="L47" s="12">
        <v>15.7</v>
      </c>
      <c r="M47" s="12">
        <v>237</v>
      </c>
      <c r="N47" s="12">
        <v>100</v>
      </c>
      <c r="O47" s="12">
        <v>6</v>
      </c>
      <c r="P47" s="12">
        <v>100</v>
      </c>
      <c r="Q47" s="12">
        <v>100</v>
      </c>
      <c r="R47" s="12">
        <v>67</v>
      </c>
      <c r="S47" s="12" t="s">
        <v>62</v>
      </c>
      <c r="T47" s="12" t="str">
        <f t="shared" si="1"/>
        <v>Claude</v>
      </c>
      <c r="U47" s="13" t="s">
        <v>198</v>
      </c>
      <c r="V47" s="13" t="s">
        <v>199</v>
      </c>
    </row>
    <row r="48" spans="1:22" ht="90" customHeight="1" x14ac:dyDescent="0.35">
      <c r="A48" s="12">
        <v>47</v>
      </c>
      <c r="B48" s="12" t="s">
        <v>33</v>
      </c>
      <c r="C48" s="13" t="s">
        <v>200</v>
      </c>
      <c r="D48" s="12">
        <v>15.5</v>
      </c>
      <c r="E48" s="12">
        <v>202</v>
      </c>
      <c r="F48" s="12">
        <v>100</v>
      </c>
      <c r="G48" s="12">
        <v>9</v>
      </c>
      <c r="H48" s="12">
        <v>20</v>
      </c>
      <c r="I48" s="12">
        <v>100</v>
      </c>
      <c r="J48" s="12">
        <v>56</v>
      </c>
      <c r="K48" s="12" t="s">
        <v>62</v>
      </c>
      <c r="L48" s="12">
        <v>14.6</v>
      </c>
      <c r="M48" s="12">
        <v>229</v>
      </c>
      <c r="N48" s="12">
        <v>100</v>
      </c>
      <c r="O48" s="12">
        <v>7</v>
      </c>
      <c r="P48" s="12">
        <v>100</v>
      </c>
      <c r="Q48" s="12">
        <v>100</v>
      </c>
      <c r="R48" s="12">
        <v>68</v>
      </c>
      <c r="S48" s="12" t="s">
        <v>62</v>
      </c>
      <c r="T48" s="12" t="str">
        <f t="shared" si="1"/>
        <v>Claude</v>
      </c>
      <c r="U48" s="13" t="s">
        <v>201</v>
      </c>
      <c r="V48" s="13" t="s">
        <v>202</v>
      </c>
    </row>
    <row r="49" spans="1:22" ht="90" customHeight="1" x14ac:dyDescent="0.35">
      <c r="A49" s="12">
        <v>48</v>
      </c>
      <c r="B49" s="12" t="s">
        <v>33</v>
      </c>
      <c r="C49" s="13" t="s">
        <v>203</v>
      </c>
      <c r="D49" s="12">
        <v>16.899999999999999</v>
      </c>
      <c r="E49" s="12">
        <v>226</v>
      </c>
      <c r="F49" s="12">
        <v>100</v>
      </c>
      <c r="G49" s="12">
        <v>4</v>
      </c>
      <c r="H49" s="12">
        <v>20</v>
      </c>
      <c r="I49" s="12">
        <v>100</v>
      </c>
      <c r="J49" s="12">
        <v>54</v>
      </c>
      <c r="K49" s="12" t="s">
        <v>62</v>
      </c>
      <c r="L49" s="12">
        <v>15.6</v>
      </c>
      <c r="M49" s="12">
        <v>240</v>
      </c>
      <c r="N49" s="12">
        <v>100</v>
      </c>
      <c r="O49" s="12">
        <v>4</v>
      </c>
      <c r="P49" s="12">
        <v>100</v>
      </c>
      <c r="Q49" s="12">
        <v>100</v>
      </c>
      <c r="R49" s="12">
        <v>66</v>
      </c>
      <c r="S49" s="12" t="s">
        <v>62</v>
      </c>
      <c r="T49" s="12" t="str">
        <f t="shared" si="1"/>
        <v>Claude</v>
      </c>
      <c r="U49" s="13" t="s">
        <v>204</v>
      </c>
      <c r="V49" s="13" t="s">
        <v>205</v>
      </c>
    </row>
    <row r="50" spans="1:22" ht="90" customHeight="1" x14ac:dyDescent="0.35">
      <c r="A50" s="12">
        <v>49</v>
      </c>
      <c r="B50" s="12" t="s">
        <v>33</v>
      </c>
      <c r="C50" s="13" t="s">
        <v>206</v>
      </c>
      <c r="D50" s="12">
        <v>15.7</v>
      </c>
      <c r="E50" s="12">
        <v>222</v>
      </c>
      <c r="F50" s="12">
        <v>100</v>
      </c>
      <c r="G50" s="12">
        <v>6</v>
      </c>
      <c r="H50" s="12">
        <v>20</v>
      </c>
      <c r="I50" s="12">
        <v>100</v>
      </c>
      <c r="J50" s="12">
        <v>55</v>
      </c>
      <c r="K50" s="12" t="s">
        <v>62</v>
      </c>
      <c r="L50" s="12">
        <v>13</v>
      </c>
      <c r="M50" s="12">
        <v>245</v>
      </c>
      <c r="N50" s="12">
        <v>100</v>
      </c>
      <c r="O50" s="12">
        <v>7</v>
      </c>
      <c r="P50" s="12">
        <v>100</v>
      </c>
      <c r="Q50" s="12">
        <v>100</v>
      </c>
      <c r="R50" s="12">
        <v>67</v>
      </c>
      <c r="S50" s="12" t="s">
        <v>62</v>
      </c>
      <c r="T50" s="12" t="str">
        <f t="shared" si="1"/>
        <v>Claude</v>
      </c>
      <c r="U50" s="13" t="s">
        <v>207</v>
      </c>
      <c r="V50" s="13" t="s">
        <v>208</v>
      </c>
    </row>
    <row r="51" spans="1:22" ht="90" customHeight="1" x14ac:dyDescent="0.35">
      <c r="A51" s="12">
        <v>50</v>
      </c>
      <c r="B51" s="12" t="s">
        <v>33</v>
      </c>
      <c r="C51" s="13" t="s">
        <v>209</v>
      </c>
      <c r="D51" s="12">
        <v>15.9</v>
      </c>
      <c r="E51" s="12">
        <v>241</v>
      </c>
      <c r="F51" s="12">
        <v>100</v>
      </c>
      <c r="G51" s="12">
        <v>13</v>
      </c>
      <c r="H51" s="12">
        <v>20</v>
      </c>
      <c r="I51" s="12">
        <v>100</v>
      </c>
      <c r="J51" s="12">
        <v>57</v>
      </c>
      <c r="K51" s="12" t="s">
        <v>62</v>
      </c>
      <c r="L51" s="12">
        <v>11.1</v>
      </c>
      <c r="M51" s="12">
        <v>187</v>
      </c>
      <c r="N51" s="12">
        <v>100</v>
      </c>
      <c r="O51" s="12">
        <v>9</v>
      </c>
      <c r="P51" s="12">
        <v>100</v>
      </c>
      <c r="Q51" s="12">
        <v>100</v>
      </c>
      <c r="R51" s="12">
        <v>68</v>
      </c>
      <c r="S51" s="12" t="s">
        <v>62</v>
      </c>
      <c r="T51" s="12" t="str">
        <f t="shared" si="1"/>
        <v>Claude</v>
      </c>
      <c r="U51" s="13" t="s">
        <v>210</v>
      </c>
      <c r="V51" s="13" t="s">
        <v>211</v>
      </c>
    </row>
    <row r="52" spans="1:22" ht="90" customHeight="1" x14ac:dyDescent="0.35">
      <c r="A52" s="12">
        <v>51</v>
      </c>
      <c r="B52" s="12" t="s">
        <v>34</v>
      </c>
      <c r="C52" s="13" t="s">
        <v>212</v>
      </c>
      <c r="D52" s="12">
        <v>13.8</v>
      </c>
      <c r="E52" s="12">
        <v>136</v>
      </c>
      <c r="F52" s="12">
        <v>100</v>
      </c>
      <c r="G52" s="12">
        <v>4</v>
      </c>
      <c r="H52" s="12">
        <v>20</v>
      </c>
      <c r="I52" s="12">
        <v>100</v>
      </c>
      <c r="J52" s="12">
        <v>54</v>
      </c>
      <c r="K52" s="12" t="s">
        <v>62</v>
      </c>
      <c r="L52" s="12">
        <v>7.2</v>
      </c>
      <c r="M52" s="12">
        <v>91</v>
      </c>
      <c r="N52" s="12">
        <v>80</v>
      </c>
      <c r="O52" s="12">
        <v>4</v>
      </c>
      <c r="P52" s="12">
        <v>100</v>
      </c>
      <c r="Q52" s="12">
        <v>100</v>
      </c>
      <c r="R52" s="12">
        <v>60</v>
      </c>
      <c r="S52" s="12" t="s">
        <v>62</v>
      </c>
      <c r="T52" s="12" t="str">
        <f t="shared" si="1"/>
        <v>Claude</v>
      </c>
      <c r="U52" s="13" t="s">
        <v>213</v>
      </c>
      <c r="V52" s="13" t="s">
        <v>214</v>
      </c>
    </row>
    <row r="53" spans="1:22" ht="90" customHeight="1" x14ac:dyDescent="0.35">
      <c r="A53" s="12">
        <v>52</v>
      </c>
      <c r="B53" s="12" t="s">
        <v>34</v>
      </c>
      <c r="C53" s="13" t="s">
        <v>215</v>
      </c>
      <c r="D53" s="12">
        <v>15.1</v>
      </c>
      <c r="E53" s="12">
        <v>166</v>
      </c>
      <c r="F53" s="12">
        <v>100</v>
      </c>
      <c r="G53" s="12">
        <v>7</v>
      </c>
      <c r="H53" s="12">
        <v>20</v>
      </c>
      <c r="I53" s="12">
        <v>100</v>
      </c>
      <c r="J53" s="12">
        <v>55</v>
      </c>
      <c r="K53" s="12" t="s">
        <v>62</v>
      </c>
      <c r="L53" s="12">
        <v>12.5</v>
      </c>
      <c r="M53" s="12">
        <v>218</v>
      </c>
      <c r="N53" s="12">
        <v>100</v>
      </c>
      <c r="O53" s="12">
        <v>5</v>
      </c>
      <c r="P53" s="12">
        <v>100</v>
      </c>
      <c r="Q53" s="12">
        <v>100</v>
      </c>
      <c r="R53" s="12">
        <v>67</v>
      </c>
      <c r="S53" s="12" t="s">
        <v>62</v>
      </c>
      <c r="T53" s="12" t="str">
        <f t="shared" si="1"/>
        <v>Claude</v>
      </c>
      <c r="U53" s="13" t="s">
        <v>216</v>
      </c>
      <c r="V53" s="13" t="s">
        <v>217</v>
      </c>
    </row>
    <row r="54" spans="1:22" ht="90" customHeight="1" x14ac:dyDescent="0.35">
      <c r="A54" s="12">
        <v>53</v>
      </c>
      <c r="B54" s="12" t="s">
        <v>34</v>
      </c>
      <c r="C54" s="13" t="s">
        <v>218</v>
      </c>
      <c r="D54" s="12">
        <v>17</v>
      </c>
      <c r="E54" s="12">
        <v>232</v>
      </c>
      <c r="F54" s="12">
        <v>100</v>
      </c>
      <c r="G54" s="12">
        <v>8</v>
      </c>
      <c r="H54" s="12">
        <v>20</v>
      </c>
      <c r="I54" s="12">
        <v>100</v>
      </c>
      <c r="J54" s="12">
        <v>56</v>
      </c>
      <c r="K54" s="12" t="s">
        <v>62</v>
      </c>
      <c r="L54" s="12">
        <v>15.3</v>
      </c>
      <c r="M54" s="12">
        <v>257</v>
      </c>
      <c r="N54" s="12">
        <v>100</v>
      </c>
      <c r="O54" s="12">
        <v>7</v>
      </c>
      <c r="P54" s="12">
        <v>100</v>
      </c>
      <c r="Q54" s="12">
        <v>100</v>
      </c>
      <c r="R54" s="12">
        <v>67</v>
      </c>
      <c r="S54" s="12" t="s">
        <v>62</v>
      </c>
      <c r="T54" s="12" t="str">
        <f t="shared" si="1"/>
        <v>Claude</v>
      </c>
      <c r="U54" s="13" t="s">
        <v>219</v>
      </c>
      <c r="V54" s="13" t="s">
        <v>220</v>
      </c>
    </row>
    <row r="55" spans="1:22" ht="90" customHeight="1" x14ac:dyDescent="0.35">
      <c r="A55" s="12">
        <v>54</v>
      </c>
      <c r="B55" s="12" t="s">
        <v>34</v>
      </c>
      <c r="C55" s="13" t="s">
        <v>221</v>
      </c>
      <c r="D55" s="12">
        <v>16.399999999999999</v>
      </c>
      <c r="E55" s="12">
        <v>200</v>
      </c>
      <c r="F55" s="12">
        <v>85</v>
      </c>
      <c r="G55" s="12">
        <v>6</v>
      </c>
      <c r="H55" s="12">
        <v>20</v>
      </c>
      <c r="I55" s="12">
        <v>100</v>
      </c>
      <c r="J55" s="12">
        <v>51</v>
      </c>
      <c r="K55" s="12" t="s">
        <v>62</v>
      </c>
      <c r="L55" s="12">
        <v>16.100000000000001</v>
      </c>
      <c r="M55" s="12">
        <v>250</v>
      </c>
      <c r="N55" s="12">
        <v>100</v>
      </c>
      <c r="O55" s="12">
        <v>4</v>
      </c>
      <c r="P55" s="12">
        <v>100</v>
      </c>
      <c r="Q55" s="12">
        <v>100</v>
      </c>
      <c r="R55" s="12">
        <v>67</v>
      </c>
      <c r="S55" s="12" t="s">
        <v>62</v>
      </c>
      <c r="T55" s="12" t="str">
        <f t="shared" si="1"/>
        <v>Claude</v>
      </c>
      <c r="U55" s="13" t="s">
        <v>222</v>
      </c>
      <c r="V55" s="13" t="s">
        <v>223</v>
      </c>
    </row>
    <row r="56" spans="1:22" ht="90" customHeight="1" x14ac:dyDescent="0.35">
      <c r="A56" s="12">
        <v>55</v>
      </c>
      <c r="B56" s="12" t="s">
        <v>34</v>
      </c>
      <c r="C56" s="13" t="s">
        <v>224</v>
      </c>
      <c r="D56" s="12">
        <v>18.100000000000001</v>
      </c>
      <c r="E56" s="12">
        <v>254</v>
      </c>
      <c r="F56" s="12">
        <v>100</v>
      </c>
      <c r="G56" s="12">
        <v>7</v>
      </c>
      <c r="H56" s="12">
        <v>20</v>
      </c>
      <c r="I56" s="12">
        <v>100</v>
      </c>
      <c r="J56" s="12">
        <v>56</v>
      </c>
      <c r="K56" s="12" t="s">
        <v>62</v>
      </c>
      <c r="L56" s="12">
        <v>14.3</v>
      </c>
      <c r="M56" s="12">
        <v>249</v>
      </c>
      <c r="N56" s="12">
        <v>100</v>
      </c>
      <c r="O56" s="12">
        <v>8</v>
      </c>
      <c r="P56" s="12">
        <v>100</v>
      </c>
      <c r="Q56" s="12">
        <v>100</v>
      </c>
      <c r="R56" s="12">
        <v>68</v>
      </c>
      <c r="S56" s="12" t="s">
        <v>62</v>
      </c>
      <c r="T56" s="12" t="str">
        <f t="shared" si="1"/>
        <v>Claude</v>
      </c>
      <c r="U56" s="13" t="s">
        <v>225</v>
      </c>
      <c r="V56" s="13" t="s">
        <v>226</v>
      </c>
    </row>
  </sheetData>
  <autoFilter ref="A1:V5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Suchita Mahesh Khandekar</cp:lastModifiedBy>
  <dcterms:created xsi:type="dcterms:W3CDTF">2026-09-29T16:11:33Z</dcterms:created>
  <dcterms:modified xsi:type="dcterms:W3CDTF">2026-09-29T16:11:41Z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2026-09-29T16:11:38Z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907b8e91-ff48-4916-9da3-cd010fc0dfda</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